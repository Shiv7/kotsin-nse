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evinakothari/Downloads/"/>
    </mc:Choice>
  </mc:AlternateContent>
  <xr:revisionPtr revIDLastSave="0" documentId="13_ncr:1_{80EBC219-4987-9747-9598-E58198DDECC1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B1_GAP-FAD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7" i="2" l="1"/>
  <c r="W17" i="2"/>
  <c r="AG17" i="2"/>
  <c r="G16" i="2"/>
  <c r="H15" i="2"/>
  <c r="G15" i="2"/>
  <c r="H14" i="2"/>
  <c r="G14" i="2"/>
  <c r="G13" i="2"/>
  <c r="H12" i="2"/>
  <c r="G12" i="2"/>
  <c r="H11" i="2"/>
  <c r="G11" i="2"/>
  <c r="O10" i="2"/>
  <c r="H10" i="2"/>
  <c r="G10" i="2"/>
  <c r="U8" i="2"/>
  <c r="H8" i="2"/>
  <c r="G8" i="2"/>
  <c r="H7" i="2"/>
  <c r="G7" i="2"/>
  <c r="H6" i="2"/>
  <c r="G6" i="2"/>
  <c r="M6" i="2"/>
  <c r="M14" i="2"/>
  <c r="M16" i="2"/>
  <c r="G5" i="2"/>
  <c r="U4" i="2"/>
  <c r="W4" i="2"/>
  <c r="AB4" i="2" s="1"/>
  <c r="W5" i="2"/>
  <c r="AB5" i="2" s="1"/>
  <c r="W6" i="2"/>
  <c r="W7" i="2"/>
  <c r="AB7" i="2" s="1"/>
  <c r="W8" i="2"/>
  <c r="AB8" i="2"/>
  <c r="W9" i="2"/>
  <c r="AB9" i="2" s="1"/>
  <c r="W10" i="2"/>
  <c r="AB10" i="2" s="1"/>
  <c r="W11" i="2"/>
  <c r="AB11" i="2" s="1"/>
  <c r="W12" i="2"/>
  <c r="AB12" i="2" s="1"/>
  <c r="W13" i="2"/>
  <c r="AB13" i="2" s="1"/>
  <c r="W14" i="2"/>
  <c r="AB14" i="2" s="1"/>
  <c r="W15" i="2"/>
  <c r="AB15" i="2" s="1"/>
  <c r="W16" i="2"/>
  <c r="AB16" i="2"/>
  <c r="M4" i="2"/>
  <c r="H4" i="2"/>
  <c r="G4" i="2"/>
  <c r="Q16" i="2"/>
  <c r="L16" i="2"/>
  <c r="Q15" i="2"/>
  <c r="L15" i="2"/>
  <c r="M15" i="2" s="1"/>
  <c r="Q14" i="2"/>
  <c r="L14" i="2"/>
  <c r="Q13" i="2"/>
  <c r="L13" i="2"/>
  <c r="M13" i="2" s="1"/>
  <c r="Q12" i="2"/>
  <c r="L12" i="2"/>
  <c r="M12" i="2" s="1"/>
  <c r="Q11" i="2"/>
  <c r="L11" i="2"/>
  <c r="Q10" i="2"/>
  <c r="L10" i="2"/>
  <c r="M10" i="2" s="1"/>
  <c r="Q9" i="2"/>
  <c r="L9" i="2"/>
  <c r="M9" i="2" s="1"/>
  <c r="Q8" i="2"/>
  <c r="L8" i="2"/>
  <c r="M8" i="2" s="1"/>
  <c r="Q7" i="2"/>
  <c r="L7" i="2"/>
  <c r="M7" i="2" s="1"/>
  <c r="Q6" i="2"/>
  <c r="L6" i="2"/>
  <c r="Q5" i="2"/>
  <c r="L5" i="2"/>
  <c r="L4" i="2"/>
  <c r="L3" i="2"/>
  <c r="Q3" i="2"/>
  <c r="U3" i="2"/>
  <c r="Y3" i="2" s="1"/>
  <c r="W3" i="2"/>
  <c r="AB3" i="2" s="1"/>
  <c r="V3" i="2"/>
  <c r="O3" i="2"/>
  <c r="M3" i="2"/>
  <c r="G3" i="2"/>
  <c r="AB6" i="2" l="1"/>
  <c r="U13" i="2" l="1"/>
  <c r="T6" i="2"/>
  <c r="U6" i="2" s="1"/>
  <c r="U5" i="2"/>
  <c r="Y5" i="2" s="1"/>
  <c r="U12" i="2"/>
  <c r="U9" i="2"/>
  <c r="U16" i="2"/>
  <c r="U15" i="2"/>
  <c r="U7" i="2"/>
  <c r="U10" i="2"/>
  <c r="U11" i="2"/>
  <c r="U14" i="2"/>
  <c r="O14" i="2"/>
  <c r="O6" i="2"/>
  <c r="R6" i="2"/>
  <c r="O4" i="2"/>
  <c r="O5" i="2"/>
  <c r="V5" i="2"/>
  <c r="O11" i="2"/>
  <c r="O13" i="2"/>
  <c r="O12" i="2"/>
  <c r="V16" i="2" l="1"/>
  <c r="Y16" i="2"/>
  <c r="Y15" i="2"/>
  <c r="V15" i="2"/>
  <c r="V14" i="2"/>
  <c r="Y14" i="2"/>
  <c r="V11" i="2"/>
  <c r="Y11" i="2"/>
  <c r="V9" i="2"/>
  <c r="Y9" i="2"/>
  <c r="V10" i="2"/>
  <c r="Y10" i="2"/>
  <c r="Y6" i="2"/>
  <c r="V6" i="2"/>
  <c r="V8" i="2"/>
  <c r="Y8" i="2"/>
  <c r="V12" i="2"/>
  <c r="Y12" i="2"/>
  <c r="Y7" i="2"/>
  <c r="V7" i="2"/>
  <c r="Y13" i="2"/>
  <c r="V13" i="2"/>
  <c r="AE5" i="2"/>
  <c r="AC5" i="2"/>
  <c r="AD5" i="2"/>
  <c r="Z5" i="2"/>
  <c r="Z3" i="2"/>
  <c r="AE3" i="2"/>
  <c r="AD3" i="2"/>
  <c r="AC3" i="2"/>
  <c r="AC10" i="2" l="1"/>
  <c r="AE10" i="2"/>
  <c r="Z10" i="2"/>
  <c r="AD10" i="2"/>
  <c r="Z8" i="2"/>
  <c r="AE8" i="2"/>
  <c r="AD8" i="2"/>
  <c r="AC8" i="2"/>
  <c r="Z11" i="2"/>
  <c r="AD11" i="2"/>
  <c r="AC11" i="2"/>
  <c r="AE11" i="2"/>
  <c r="AE7" i="2"/>
  <c r="Z7" i="2"/>
  <c r="AD7" i="2"/>
  <c r="AC7" i="2"/>
  <c r="Z15" i="2"/>
  <c r="AD15" i="2"/>
  <c r="AE15" i="2"/>
  <c r="AC15" i="2"/>
  <c r="AC14" i="2"/>
  <c r="AD14" i="2"/>
  <c r="Z14" i="2"/>
  <c r="AE14" i="2"/>
  <c r="AE13" i="2"/>
  <c r="AD13" i="2"/>
  <c r="Z13" i="2"/>
  <c r="AC13" i="2"/>
  <c r="Z6" i="2"/>
  <c r="AD6" i="2"/>
  <c r="AC6" i="2"/>
  <c r="AE6" i="2"/>
  <c r="AF6" i="2" s="1"/>
  <c r="AG6" i="2" s="1"/>
  <c r="AE12" i="2"/>
  <c r="AC12" i="2"/>
  <c r="Z12" i="2"/>
  <c r="AD12" i="2"/>
  <c r="AC9" i="2"/>
  <c r="Z9" i="2"/>
  <c r="AE9" i="2"/>
  <c r="AD9" i="2"/>
  <c r="Z16" i="2"/>
  <c r="AD16" i="2"/>
  <c r="AC16" i="2"/>
  <c r="AE16" i="2"/>
  <c r="AF16" i="2" s="1"/>
  <c r="AG16" i="2" s="1"/>
  <c r="AF5" i="2"/>
  <c r="AG5" i="2" s="1"/>
  <c r="V4" i="2"/>
  <c r="Y4" i="2"/>
  <c r="AF3" i="2"/>
  <c r="AG3" i="2" s="1"/>
  <c r="AF14" i="2" l="1"/>
  <c r="AG14" i="2" s="1"/>
  <c r="AF13" i="2"/>
  <c r="AG13" i="2" s="1"/>
  <c r="AF11" i="2"/>
  <c r="AG11" i="2" s="1"/>
  <c r="AF8" i="2"/>
  <c r="AG8" i="2" s="1"/>
  <c r="AF9" i="2"/>
  <c r="AG9" i="2" s="1"/>
  <c r="AF15" i="2"/>
  <c r="AG15" i="2" s="1"/>
  <c r="AF10" i="2"/>
  <c r="AG10" i="2" s="1"/>
  <c r="AF7" i="2"/>
  <c r="AG7" i="2" s="1"/>
  <c r="AF12" i="2"/>
  <c r="AG12" i="2" s="1"/>
  <c r="Z4" i="2"/>
  <c r="AE4" i="2"/>
  <c r="AD4" i="2"/>
  <c r="AC4" i="2"/>
  <c r="AF4" i="2" s="1"/>
  <c r="AG4" i="2" l="1"/>
</calcChain>
</file>

<file path=xl/sharedStrings.xml><?xml version="1.0" encoding="utf-8"?>
<sst xmlns="http://schemas.openxmlformats.org/spreadsheetml/2006/main" count="365" uniqueCount="181">
  <si>
    <t>Day</t>
  </si>
  <si>
    <t>Decided</t>
  </si>
  <si>
    <t>Symbol</t>
  </si>
  <si>
    <t>Candle</t>
  </si>
  <si>
    <t>Grade</t>
  </si>
  <si>
    <t>Original dir</t>
  </si>
  <si>
    <t>Winning dir</t>
  </si>
  <si>
    <t>Conviction /5 (weighted)</t>
  </si>
  <si>
    <t>Bucket (1-pt)</t>
  </si>
  <si>
    <t>Conviction /5 (1-pt)</t>
  </si>
  <si>
    <t>5-read with-against</t>
  </si>
  <si>
    <t>Reads with</t>
  </si>
  <si>
    <t>Reads against</t>
  </si>
  <si>
    <t>Reads missing</t>
  </si>
  <si>
    <t>First 3-of-5 call</t>
  </si>
  <si>
    <t>Gap first tick</t>
  </si>
  <si>
    <t>Gap official</t>
  </si>
  <si>
    <t>Gap genuine (min vs auction / last regular)</t>
  </si>
  <si>
    <t>relVol</t>
  </si>
  <si>
    <t>Share with trigger</t>
  </si>
  <si>
    <t>Stretch dATR</t>
  </si>
  <si>
    <t>Resistance wall (winning side)</t>
  </si>
  <si>
    <t>Support wall (against winning)</t>
  </si>
  <si>
    <t>Wall ahead of trigger</t>
  </si>
  <si>
    <t>Wall behind trigger</t>
  </si>
  <si>
    <t>First 0.5 ATR30</t>
  </si>
  <si>
    <t>First 1.0 ATR30</t>
  </si>
  <si>
    <t>Best win ATR30</t>
  </si>
  <si>
    <t>Best against ATR30</t>
  </si>
  <si>
    <t>Right?</t>
  </si>
  <si>
    <t>Data note</t>
  </si>
  <si>
    <t>Operator label</t>
  </si>
  <si>
    <t>2026-10-14</t>
  </si>
  <si>
    <t>C</t>
  </si>
  <si>
    <t>BULL</t>
  </si>
  <si>
    <t>-</t>
  </si>
  <si>
    <t>HOLE</t>
  </si>
  <si>
    <t>F</t>
  </si>
  <si>
    <t>09:45:04</t>
  </si>
  <si>
    <t>09:15</t>
  </si>
  <si>
    <t>BEAR</t>
  </si>
  <si>
    <t>PREMIUM, STOCK</t>
  </si>
  <si>
    <t>OI</t>
  </si>
  <si>
    <t>VOL</t>
  </si>
  <si>
    <t>Y</t>
  </si>
  <si>
    <t>09:45:05</t>
  </si>
  <si>
    <t>3-1</t>
  </si>
  <si>
    <t>OI, PREMIUM, STOCK</t>
  </si>
  <si>
    <t>IV</t>
  </si>
  <si>
    <t>Bullish</t>
  </si>
  <si>
    <t>N</t>
  </si>
  <si>
    <t>JSWENERGY</t>
  </si>
  <si>
    <t>B1 GAP-FADE</t>
  </si>
  <si>
    <t>4-0</t>
  </si>
  <si>
    <t>OI, IV, PREMIUM, STOCK</t>
  </si>
  <si>
    <t>474.31 s6 [1mo.S1+1d.R2] 0.87 ATR30 (BROKEN)</t>
  </si>
  <si>
    <t>BULL 09:49</t>
  </si>
  <si>
    <t>AGAINST 10:51</t>
  </si>
  <si>
    <t>09:45:06</t>
  </si>
  <si>
    <t>A</t>
  </si>
  <si>
    <t>IV, PREMIUM, STOCK</t>
  </si>
  <si>
    <t>Bearish</t>
  </si>
  <si>
    <t>NEITHER</t>
  </si>
  <si>
    <t>2-0</t>
  </si>
  <si>
    <t>UNIONBANK</t>
  </si>
  <si>
    <t>VOL, PREMIUM, STOCK</t>
  </si>
  <si>
    <t>2-3</t>
  </si>
  <si>
    <t>OI, VOL, IV</t>
  </si>
  <si>
    <t>2026-10-15</t>
  </si>
  <si>
    <t>09:45:03</t>
  </si>
  <si>
    <t>AXISBANK</t>
  </si>
  <si>
    <t>1277.6 s9.2 [1d.R1+1wk.R1+1mo.R1] 0.48 ATR30 (BROKEN)</t>
  </si>
  <si>
    <t>BULL 09:52</t>
  </si>
  <si>
    <t>AGAINST 10:13</t>
  </si>
  <si>
    <t>BANKINDIA</t>
  </si>
  <si>
    <t>4-1</t>
  </si>
  <si>
    <t>VOL, IV, PREMIUM, STOCK</t>
  </si>
  <si>
    <t>133.17 s7.2 [1d.S1+1wk.BC] 3.66 ATR30 (WICK)</t>
  </si>
  <si>
    <t>BULL 09:47</t>
  </si>
  <si>
    <t>WIN 10:13</t>
  </si>
  <si>
    <t>ENRIN</t>
  </si>
  <si>
    <t>3145.92 s13.2 [1d.PIVOT+1wk.BC+1d.TC+1mo.BC] 3.18 ATR30 (OUTSIDE_CANDLE)</t>
  </si>
  <si>
    <t>BEAR 10:40</t>
  </si>
  <si>
    <t>AGAINST 11:19</t>
  </si>
  <si>
    <t>GVT&amp;D</t>
  </si>
  <si>
    <t>4200.76 s21.6 [1d.BC+1d.PIVOT+1d.TC+1wk.BC+1wk.PIVOT+1wk.TC] 4.72 ATR30 (OUTSIDE_CANDLE)</t>
  </si>
  <si>
    <t>WIN 10:26</t>
  </si>
  <si>
    <t>STOCK</t>
  </si>
  <si>
    <t>1-1</t>
  </si>
  <si>
    <t>OI, IV, PREMIUM</t>
  </si>
  <si>
    <t>3-0</t>
  </si>
  <si>
    <t>WIN 10:37</t>
  </si>
  <si>
    <t>1-0</t>
  </si>
  <si>
    <t>PREMIERENE</t>
  </si>
  <si>
    <t>2026-10-16</t>
  </si>
  <si>
    <t>VOLTAS</t>
  </si>
  <si>
    <t>1037.93 s7.2 [1d.S1+1wk.BC] 0.72 ATR30 (BROKEN)</t>
  </si>
  <si>
    <t>1022.3 s6 [1mo.S1+1d.S2] 1.20 ATR30 (FAR)</t>
  </si>
  <si>
    <t>BEAR 09:47</t>
  </si>
  <si>
    <t>AGAINST 09:58</t>
  </si>
  <si>
    <t>BEAR 09:46</t>
  </si>
  <si>
    <t>GODREJCP</t>
  </si>
  <si>
    <t>853.39 s7.2 [1d.S2+1wk.BC] 0.72 ATR30 (BROKEN)</t>
  </si>
  <si>
    <t>837.08 s7.2 [1d.S3+1wk.S1] 1.97 ATR30 (FAR)</t>
  </si>
  <si>
    <t>BULL 10:06</t>
  </si>
  <si>
    <t>WIN 10:23</t>
  </si>
  <si>
    <t>09:45:08</t>
  </si>
  <si>
    <t>SWIGGY</t>
  </si>
  <si>
    <t>226.29 s7.2 [1d.S2+1wk.S1] 4.40 ATR30 (OUTSIDE_CANDLE)</t>
  </si>
  <si>
    <t>237.02 s5.2 [1mo.S1+1wk.BC] 2.34 ATR30 (FAR)</t>
  </si>
  <si>
    <t>AGAINST 10:03</t>
  </si>
  <si>
    <t>SBICARD</t>
  </si>
  <si>
    <t>2026-10-19</t>
  </si>
  <si>
    <t>IV, PREMIUM</t>
  </si>
  <si>
    <t>1275.67 s7.2 [1wk.PIVOT+1d.S1] 3.73 ATR30 (OUTSIDE_CANDLE)</t>
  </si>
  <si>
    <t>1226.02 s9.2 [1wk.S2+1mo.BC+1mo.PIVOT+1mo.TC] 0.89 ATR30 (PIERCED)</t>
  </si>
  <si>
    <t>BULL 10:12</t>
  </si>
  <si>
    <t>group 1 fade</t>
  </si>
  <si>
    <t>fade</t>
  </si>
  <si>
    <t>BEAR 09:57</t>
  </si>
  <si>
    <t>PNB</t>
  </si>
  <si>
    <t>122.38 s7.2 [1wk.R2+1d.R4] 1.19 ATR30 (BROKEN)</t>
  </si>
  <si>
    <t>WIN 09:58</t>
  </si>
  <si>
    <t>906.43 s14.4 [1wk.PIVOT+1d.PIVOT+1wk.TC+1d.TC] 3.47 ATR30 (BROKEN)</t>
  </si>
  <si>
    <t>BEAR 10:08</t>
  </si>
  <si>
    <t>WIN 10:08</t>
  </si>
  <si>
    <t>567.66 s14.4 [1wk.PIVOT+1d.PIVOT+1wk.TC+1d.TC] 2.54 ATR30 (OUTSIDE_CANDLE)</t>
  </si>
  <si>
    <t>610.26 s9.2 [1wk.R3+1mo.PIVOT+1d.R4] 9.38 ATR30 (FAR)</t>
  </si>
  <si>
    <t>175.59 s9.2 [1wk.R1+1d.R2+1mo.PIVOT] 1.05 ATR30 (BROKEN)</t>
  </si>
  <si>
    <t>179.04 s7.2 [1d.R3+1wk.R2] 1.18 ATR30 (FAR)</t>
  </si>
  <si>
    <t>WIN 09:49</t>
  </si>
  <si>
    <t>UNITDSPR</t>
  </si>
  <si>
    <t>1375.01 s15.6 [1d.S1+1wk.BC+1mo.BC+1wk.PIVOT+1wk.TC] 0.48 ATR30 (BROKEN)</t>
  </si>
  <si>
    <t>1346.47 s7.2 [1d.S3+1wk.S1] 3.32 ATR30 (FAR)</t>
  </si>
  <si>
    <t>WIN 09:52</t>
  </si>
  <si>
    <t>B3 /5 In-Trend Strength</t>
  </si>
  <si>
    <t xml:space="preserve">B2 /5 Wall-fade </t>
  </si>
  <si>
    <t>B1 /5     Gap fade</t>
  </si>
  <si>
    <t>What I would choose</t>
  </si>
  <si>
    <t>Why</t>
  </si>
  <si>
    <t>4.5/5</t>
  </si>
  <si>
    <t>Option name</t>
  </si>
  <si>
    <t>Entry Price</t>
  </si>
  <si>
    <t>5% after entry (to armed at)</t>
  </si>
  <si>
    <t>Half distance between first arming and T1</t>
  </si>
  <si>
    <t xml:space="preserve">Target 1 before/after the arming (option raw pivots rounded off) </t>
  </si>
  <si>
    <t>Half distance between T1 and T2 (this will function as SL I fprice drops from T2 after touching it and doesn’t move ahead</t>
  </si>
  <si>
    <t xml:space="preserve">Target 2 (option raw pivots rounded off) </t>
  </si>
  <si>
    <t>Half distance between T2 and T3 (this will function as SL I fprice drops from T3 after touching it and doesn’t move ahead</t>
  </si>
  <si>
    <t xml:space="preserve">Target 3 (option raw pivots rounded off) </t>
  </si>
  <si>
    <t xml:space="preserve">highest Peak after last target </t>
  </si>
  <si>
    <t>3% dip from the peak exit. We need closing of 5min candle to sustain the dip but if the dip crosses further more, than the 5% from the peak, then we exit all lots</t>
  </si>
  <si>
    <t>Exit Price</t>
  </si>
  <si>
    <t>Investment for trade (without margin)</t>
  </si>
  <si>
    <t>lot size</t>
  </si>
  <si>
    <t>Revenue from trade</t>
  </si>
  <si>
    <t>Profit/Loss</t>
  </si>
  <si>
    <t>Brokerage</t>
  </si>
  <si>
    <t>stamp duty (0.003% on Buy Premium Only)</t>
  </si>
  <si>
    <t>Exchange charges : 0.03553% on Total Premium Turnover (NSE)</t>
  </si>
  <si>
    <t>Securities Transaction Tax STT (0.1% on Sell Premium Only)</t>
  </si>
  <si>
    <t>SEBI fees</t>
  </si>
  <si>
    <t>GST 18% on (Brokerage + Exchange Charges + SEBI Fees)</t>
  </si>
  <si>
    <t>Net PnL</t>
  </si>
  <si>
    <t>JSWENERGY OCT 490 CE</t>
  </si>
  <si>
    <t xml:space="preserve">Bullish </t>
  </si>
  <si>
    <t>ENRIN OCT 3000 PE</t>
  </si>
  <si>
    <t>GVT&amp;D OCT 4100 CE</t>
  </si>
  <si>
    <t>AXISBANK OCT 1300 CE</t>
  </si>
  <si>
    <t>GODREJCP OCT 850 CE</t>
  </si>
  <si>
    <t>SWIGGY OCT 230 PE</t>
  </si>
  <si>
    <t>VOLTAS OCT 1020 PE</t>
  </si>
  <si>
    <t>PNB OCT 122 PE</t>
  </si>
  <si>
    <t>AXISBANK OCT 1240 CE</t>
  </si>
  <si>
    <t>PREMIERENE OCT 920 PE</t>
  </si>
  <si>
    <t>15.05 was close price for candle 9:55 - 10:00 but we wait for next candle to drop to -5% of the last peak and wait for its close price to be less than -5% but it remains safe. Next the price rallies to 16.75 but then again drops to -5% and then rallies to 17</t>
  </si>
  <si>
    <t>SBICARD OCT 600 CE</t>
  </si>
  <si>
    <t>had we waited and sustained more dip than with a dip of 4.5, the high was 6.5</t>
  </si>
  <si>
    <t>UNIONBANK OCT 180 CE</t>
  </si>
  <si>
    <t>UNITDSPR OCT 1400 CE</t>
  </si>
  <si>
    <t>System chose Bucket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</si>
</sst>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 (Body)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 (Body)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2"/>
    </xf>
    <xf numFmtId="0" fontId="3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 indent="2"/>
    </xf>
    <xf numFmtId="0" fontId="3" fillId="6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9" fontId="2" fillId="0" borderId="0" xfId="2" applyFont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 indent="2"/>
    </xf>
    <xf numFmtId="2" fontId="2" fillId="7" borderId="1" xfId="0" applyNumberFormat="1" applyFont="1" applyFill="1" applyBorder="1" applyAlignment="1">
      <alignment horizontal="center" vertical="center" wrapText="1"/>
    </xf>
    <xf numFmtId="43" fontId="2" fillId="7" borderId="1" xfId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 indent="1"/>
    </xf>
    <xf numFmtId="2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7"/>
  <sheetViews>
    <sheetView tabSelected="1" zoomScale="125" zoomScaleNormal="60" workbookViewId="0">
      <pane xSplit="3" ySplit="2" topLeftCell="AI3" activePane="bottomRight" state="frozen"/>
      <selection pane="topRight" activeCell="D1" sqref="D1"/>
      <selection pane="bottomLeft" activeCell="A3" sqref="A3"/>
      <selection pane="bottomRight" activeCell="AL2" sqref="AL2"/>
    </sheetView>
  </sheetViews>
  <sheetFormatPr baseColWidth="10" defaultColWidth="16.5" defaultRowHeight="76" customHeight="1" x14ac:dyDescent="0.2"/>
  <cols>
    <col min="1" max="1" width="16.5" style="1"/>
    <col min="2" max="2" width="16.5" style="4"/>
    <col min="3" max="3" width="16.5" style="8"/>
    <col min="4" max="9" width="16.5" style="4"/>
    <col min="10" max="10" width="26.33203125" style="4" customWidth="1"/>
    <col min="11" max="11" width="16.5" style="4"/>
    <col min="12" max="13" width="16.5" style="32"/>
    <col min="14" max="21" width="16.5" style="4"/>
    <col min="22" max="22" width="9.83203125" style="4" customWidth="1"/>
    <col min="23" max="27" width="16.5" style="4"/>
    <col min="28" max="30" width="16.6640625" style="4" bestFit="1" customWidth="1"/>
    <col min="31" max="31" width="17.1640625" style="4" bestFit="1" customWidth="1"/>
    <col min="32" max="37" width="16.5" style="4"/>
    <col min="38" max="38" width="16.5" style="1"/>
    <col min="39" max="40" width="16.5" style="4"/>
    <col min="41" max="41" width="12.33203125" style="4" customWidth="1"/>
    <col min="42" max="42" width="10.1640625" style="4" customWidth="1"/>
    <col min="43" max="43" width="16.5" style="4"/>
    <col min="44" max="44" width="16.5" style="1"/>
    <col min="45" max="46" width="16.5" style="4"/>
    <col min="47" max="47" width="16.5" style="6"/>
    <col min="48" max="56" width="16.5" style="4"/>
    <col min="57" max="57" width="33.1640625" style="1" customWidth="1"/>
    <col min="58" max="58" width="25.33203125" style="1" customWidth="1"/>
    <col min="59" max="59" width="24.83203125" style="1" customWidth="1"/>
    <col min="60" max="60" width="32.1640625" style="1" customWidth="1"/>
    <col min="61" max="65" width="16.5" style="4"/>
    <col min="66" max="16384" width="16.5" style="1"/>
  </cols>
  <sheetData>
    <row r="1" spans="1:67" s="15" customFormat="1" ht="76" customHeight="1" x14ac:dyDescent="0.2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138</v>
      </c>
      <c r="H1" s="12" t="s">
        <v>139</v>
      </c>
      <c r="I1" s="12"/>
      <c r="J1" s="16" t="s">
        <v>141</v>
      </c>
      <c r="K1" s="16" t="s">
        <v>142</v>
      </c>
      <c r="L1" s="12" t="s">
        <v>143</v>
      </c>
      <c r="M1" s="12" t="s">
        <v>144</v>
      </c>
      <c r="N1" s="16" t="s">
        <v>145</v>
      </c>
      <c r="O1" s="12" t="s">
        <v>146</v>
      </c>
      <c r="P1" s="16" t="s">
        <v>147</v>
      </c>
      <c r="Q1" s="12" t="s">
        <v>148</v>
      </c>
      <c r="R1" s="16" t="s">
        <v>149</v>
      </c>
      <c r="S1" s="12"/>
      <c r="T1" s="16" t="s">
        <v>150</v>
      </c>
      <c r="U1" s="12" t="s">
        <v>151</v>
      </c>
      <c r="V1" s="12" t="s">
        <v>152</v>
      </c>
      <c r="W1" s="12" t="s">
        <v>153</v>
      </c>
      <c r="X1" s="16" t="s">
        <v>154</v>
      </c>
      <c r="Y1" s="12" t="s">
        <v>155</v>
      </c>
      <c r="Z1" s="12" t="s">
        <v>156</v>
      </c>
      <c r="AA1" s="16" t="s">
        <v>157</v>
      </c>
      <c r="AB1" s="12" t="s">
        <v>158</v>
      </c>
      <c r="AC1" s="12" t="s">
        <v>159</v>
      </c>
      <c r="AD1" s="12" t="s">
        <v>160</v>
      </c>
      <c r="AE1" s="12" t="s">
        <v>161</v>
      </c>
      <c r="AF1" s="12" t="s">
        <v>162</v>
      </c>
      <c r="AG1" s="12" t="s">
        <v>163</v>
      </c>
      <c r="AH1" s="12"/>
      <c r="AI1" s="12"/>
      <c r="AJ1" s="12"/>
      <c r="AK1" s="12"/>
      <c r="AL1" s="11" t="s">
        <v>180</v>
      </c>
      <c r="AM1" s="12" t="s">
        <v>6</v>
      </c>
      <c r="AN1" s="12" t="s">
        <v>7</v>
      </c>
      <c r="AO1" s="12" t="s">
        <v>137</v>
      </c>
      <c r="AP1" s="12" t="s">
        <v>136</v>
      </c>
      <c r="AQ1" s="12" t="s">
        <v>135</v>
      </c>
      <c r="AR1" s="11" t="s">
        <v>8</v>
      </c>
      <c r="AS1" s="12" t="s">
        <v>9</v>
      </c>
      <c r="AT1" s="12" t="s">
        <v>10</v>
      </c>
      <c r="AU1" s="14" t="s">
        <v>11</v>
      </c>
      <c r="AV1" s="12" t="s">
        <v>12</v>
      </c>
      <c r="AW1" s="12" t="s">
        <v>13</v>
      </c>
      <c r="AX1" s="12" t="s">
        <v>14</v>
      </c>
      <c r="AY1" s="12" t="s">
        <v>15</v>
      </c>
      <c r="AZ1" s="12" t="s">
        <v>16</v>
      </c>
      <c r="BA1" s="12" t="s">
        <v>17</v>
      </c>
      <c r="BB1" s="12" t="s">
        <v>18</v>
      </c>
      <c r="BC1" s="12" t="s">
        <v>19</v>
      </c>
      <c r="BD1" s="12" t="s">
        <v>20</v>
      </c>
      <c r="BE1" s="11" t="s">
        <v>21</v>
      </c>
      <c r="BF1" s="11" t="s">
        <v>22</v>
      </c>
      <c r="BG1" s="11" t="s">
        <v>23</v>
      </c>
      <c r="BH1" s="11" t="s">
        <v>24</v>
      </c>
      <c r="BI1" s="12" t="s">
        <v>25</v>
      </c>
      <c r="BJ1" s="12" t="s">
        <v>26</v>
      </c>
      <c r="BK1" s="12" t="s">
        <v>27</v>
      </c>
      <c r="BL1" s="12" t="s">
        <v>28</v>
      </c>
      <c r="BM1" s="12" t="s">
        <v>29</v>
      </c>
      <c r="BN1" s="11" t="s">
        <v>30</v>
      </c>
      <c r="BO1" s="11" t="s">
        <v>31</v>
      </c>
    </row>
    <row r="2" spans="1:67" s="21" customFormat="1" ht="33" customHeight="1" x14ac:dyDescent="0.2">
      <c r="A2" s="17"/>
      <c r="B2" s="18"/>
      <c r="C2" s="19"/>
      <c r="D2" s="18"/>
      <c r="E2" s="18"/>
      <c r="F2" s="18"/>
      <c r="G2" s="18"/>
      <c r="H2" s="18"/>
      <c r="I2" s="18"/>
      <c r="J2" s="22"/>
      <c r="K2" s="22"/>
      <c r="L2" s="22">
        <v>0.05</v>
      </c>
      <c r="M2" s="22"/>
      <c r="N2" s="22"/>
      <c r="O2" s="22"/>
      <c r="P2" s="22"/>
      <c r="Q2" s="22"/>
      <c r="R2" s="22"/>
      <c r="S2" s="22"/>
      <c r="T2" s="22"/>
      <c r="U2" s="22">
        <v>0.03</v>
      </c>
      <c r="V2" s="22"/>
      <c r="W2" s="22"/>
      <c r="X2" s="22"/>
      <c r="Y2" s="22"/>
      <c r="Z2" s="22"/>
      <c r="AA2" s="22"/>
      <c r="AB2" s="22">
        <v>3.0000000000000001E-5</v>
      </c>
      <c r="AC2" s="22">
        <v>3.5530000000000002E-4</v>
      </c>
      <c r="AD2" s="22">
        <v>1E-3</v>
      </c>
      <c r="AE2" s="22">
        <v>9.9999999999999995E-7</v>
      </c>
      <c r="AF2" s="22">
        <v>0.18</v>
      </c>
      <c r="AG2" s="22"/>
      <c r="AH2" s="18"/>
      <c r="AI2" s="18"/>
      <c r="AJ2" s="18"/>
      <c r="AK2" s="18"/>
      <c r="AL2" s="17"/>
      <c r="AM2" s="18"/>
      <c r="AN2" s="18"/>
      <c r="AO2" s="18"/>
      <c r="AP2" s="18"/>
      <c r="AQ2" s="18"/>
      <c r="AR2" s="17"/>
      <c r="AS2" s="18"/>
      <c r="AT2" s="18"/>
      <c r="AU2" s="20"/>
      <c r="AV2" s="18"/>
      <c r="AW2" s="18"/>
      <c r="AX2" s="18"/>
      <c r="AY2" s="18"/>
      <c r="AZ2" s="18"/>
      <c r="BA2" s="18"/>
      <c r="BB2" s="18"/>
      <c r="BC2" s="18"/>
      <c r="BD2" s="18"/>
      <c r="BE2" s="17"/>
      <c r="BF2" s="17"/>
      <c r="BG2" s="17"/>
      <c r="BH2" s="17"/>
      <c r="BI2" s="18"/>
      <c r="BJ2" s="18"/>
      <c r="BK2" s="18"/>
      <c r="BL2" s="18"/>
      <c r="BM2" s="18"/>
      <c r="BN2" s="17"/>
      <c r="BO2" s="17"/>
    </row>
    <row r="3" spans="1:67" s="2" customFormat="1" ht="76" customHeight="1" x14ac:dyDescent="0.2">
      <c r="A3" s="2" t="s">
        <v>32</v>
      </c>
      <c r="B3" s="3" t="s">
        <v>45</v>
      </c>
      <c r="C3" s="7" t="s">
        <v>51</v>
      </c>
      <c r="D3" s="3" t="s">
        <v>39</v>
      </c>
      <c r="E3" s="3" t="s">
        <v>37</v>
      </c>
      <c r="F3" s="3" t="s">
        <v>34</v>
      </c>
      <c r="G3" s="3" t="str">
        <f>AQ1</f>
        <v>B3 /5 In-Trend Strength</v>
      </c>
      <c r="H3" s="3" t="s">
        <v>140</v>
      </c>
      <c r="I3" s="3" t="s">
        <v>165</v>
      </c>
      <c r="J3" s="3" t="s">
        <v>164</v>
      </c>
      <c r="K3" s="3">
        <v>8.5500000000000007</v>
      </c>
      <c r="L3" s="24">
        <f t="shared" ref="L3:L16" si="0">K3+(K3*$L$2)</f>
        <v>8.9775000000000009</v>
      </c>
      <c r="M3" s="24">
        <f>((N3-L3)/2)+L3</f>
        <v>10.23875</v>
      </c>
      <c r="N3" s="3">
        <v>11.5</v>
      </c>
      <c r="O3" s="3">
        <f>((P3-N3)/2)+N3</f>
        <v>5.75</v>
      </c>
      <c r="P3" s="3">
        <v>0</v>
      </c>
      <c r="Q3" s="3">
        <f>((R3-P3)/2)+P3</f>
        <v>0</v>
      </c>
      <c r="R3" s="3">
        <v>0</v>
      </c>
      <c r="S3" s="3"/>
      <c r="T3" s="3">
        <v>13.3</v>
      </c>
      <c r="U3" s="24">
        <f>T3-(T3*($U$2))</f>
        <v>12.901</v>
      </c>
      <c r="V3" s="3" t="str">
        <f>_xlfn.TEXTJOIN(", ",TRUE,IF(AND(ISNUMBER(N3),N3&lt;&gt;0),TEXT(N3,"0.##"),""),IF(AND(ISNUMBER(P3),P3&lt;&gt;0),TEXT(P3,"0.##"),""),IF(AND(ISNUMBER(R3),R3&lt;&gt;0),TEXT(R3,"0.##"),""),IF(AND(ISNUMBER(U3),U3&lt;&gt;0),TEXT(U3,"0.##"),""))</f>
        <v>11.5, 12.9</v>
      </c>
      <c r="W3" s="23">
        <f>X3*4*K3</f>
        <v>36765</v>
      </c>
      <c r="X3" s="3">
        <v>1075</v>
      </c>
      <c r="Y3" s="23">
        <f>IF(N3=0,U3*X3*4,IF(P3=0,N3*X3+U3*X3*3,IF(R3=0,N3*X3+P3*X3+U3*X3*2,N3*X3+P3*X3+R3*X3+U3*X3)))</f>
        <v>53968.224999999999</v>
      </c>
      <c r="Z3" s="23">
        <f>Y3-W3</f>
        <v>17203.224999999999</v>
      </c>
      <c r="AA3" s="3">
        <v>60</v>
      </c>
      <c r="AB3" s="24">
        <f>$AB$2*W3</f>
        <v>1.1029500000000001</v>
      </c>
      <c r="AC3" s="24">
        <f>$AC$2*(Y3+W3)</f>
        <v>32.237514842500005</v>
      </c>
      <c r="AD3" s="24">
        <f>$AD$2*Y3</f>
        <v>53.968224999999997</v>
      </c>
      <c r="AE3" s="24">
        <f>$AE$2*(Y3+W3)</f>
        <v>9.0733225000000001E-2</v>
      </c>
      <c r="AF3" s="24">
        <f>$AF$2*(AE3+AA3+AC3+AB3+AD3)</f>
        <v>26.531896152150001</v>
      </c>
      <c r="AG3" s="23">
        <f>Z3-(AA3+AB3+AC3+AD3+AE3+AF3)</f>
        <v>17029.293680780349</v>
      </c>
      <c r="AH3" s="3"/>
      <c r="AI3" s="3"/>
      <c r="AJ3" s="3"/>
      <c r="AK3" s="3"/>
      <c r="AL3" s="2" t="s">
        <v>52</v>
      </c>
      <c r="AM3" s="3" t="s">
        <v>40</v>
      </c>
      <c r="AN3" s="3">
        <v>1.5</v>
      </c>
      <c r="AO3" s="3">
        <v>1.5</v>
      </c>
      <c r="AP3" s="3"/>
      <c r="AQ3" s="3">
        <v>4.5</v>
      </c>
      <c r="AR3" s="2" t="s">
        <v>52</v>
      </c>
      <c r="AS3" s="3">
        <v>1</v>
      </c>
      <c r="AT3" s="3" t="s">
        <v>53</v>
      </c>
      <c r="AU3" s="5" t="s">
        <v>54</v>
      </c>
      <c r="AV3" s="3"/>
      <c r="AW3" s="3" t="s">
        <v>43</v>
      </c>
      <c r="AX3" s="3" t="s">
        <v>49</v>
      </c>
      <c r="AY3" s="3">
        <v>0.26800000000000002</v>
      </c>
      <c r="AZ3" s="3">
        <v>5.2999999999999999E-2</v>
      </c>
      <c r="BA3" s="3">
        <v>0.13</v>
      </c>
      <c r="BB3" s="3">
        <v>10.534000000000001</v>
      </c>
      <c r="BC3" s="3">
        <v>0.56899999999999995</v>
      </c>
      <c r="BD3" s="3">
        <v>1.395</v>
      </c>
      <c r="BE3" s="2" t="s">
        <v>55</v>
      </c>
      <c r="BF3" s="2" t="s">
        <v>35</v>
      </c>
      <c r="BH3" s="2" t="s">
        <v>55</v>
      </c>
      <c r="BI3" s="3" t="s">
        <v>56</v>
      </c>
      <c r="BJ3" s="3" t="s">
        <v>57</v>
      </c>
      <c r="BK3" s="3">
        <v>0.755</v>
      </c>
      <c r="BL3" s="3">
        <v>3.274</v>
      </c>
      <c r="BM3" s="9" t="s">
        <v>50</v>
      </c>
      <c r="BN3" s="2" t="s">
        <v>36</v>
      </c>
    </row>
    <row r="4" spans="1:67" s="2" customFormat="1" ht="76" customHeight="1" x14ac:dyDescent="0.2">
      <c r="A4" s="2" t="s">
        <v>68</v>
      </c>
      <c r="B4" s="3" t="s">
        <v>38</v>
      </c>
      <c r="C4" s="7" t="s">
        <v>80</v>
      </c>
      <c r="D4" s="3" t="s">
        <v>39</v>
      </c>
      <c r="E4" s="3" t="s">
        <v>37</v>
      </c>
      <c r="F4" s="3" t="s">
        <v>40</v>
      </c>
      <c r="G4" s="3" t="str">
        <f>AQ1</f>
        <v>B3 /5 In-Trend Strength</v>
      </c>
      <c r="H4" s="3">
        <f>AQ4</f>
        <v>3.5</v>
      </c>
      <c r="I4" s="3" t="s">
        <v>61</v>
      </c>
      <c r="J4" s="3" t="s">
        <v>166</v>
      </c>
      <c r="K4" s="3">
        <v>60</v>
      </c>
      <c r="L4" s="24">
        <f t="shared" si="0"/>
        <v>63</v>
      </c>
      <c r="M4" s="24">
        <f>((N4-L4)/2)+L4</f>
        <v>67.19</v>
      </c>
      <c r="N4" s="3">
        <v>71.38</v>
      </c>
      <c r="O4" s="3">
        <f>((P4-N4)/2)+N4</f>
        <v>83.22999999999999</v>
      </c>
      <c r="P4" s="3">
        <v>95.08</v>
      </c>
      <c r="Q4" s="3">
        <v>0</v>
      </c>
      <c r="R4" s="3">
        <v>0</v>
      </c>
      <c r="S4" s="3"/>
      <c r="T4" s="3">
        <v>97.8</v>
      </c>
      <c r="U4" s="24">
        <f t="shared" ref="U4:U16" si="1">T4-(T4*($U$2))</f>
        <v>94.866</v>
      </c>
      <c r="V4" s="3" t="str">
        <f t="shared" ref="V4:V16" si="2">_xlfn.TEXTJOIN(", ",TRUE,IF(AND(ISNUMBER(N4),N4&lt;&gt;0),TEXT(N4,"0.##"),""),IF(AND(ISNUMBER(P4),P4&lt;&gt;0),TEXT(P4,"0.##"),""),IF(AND(ISNUMBER(R4),R4&lt;&gt;0),TEXT(R4,"0.##"),""),IF(AND(ISNUMBER(U4),U4&lt;&gt;0),TEXT(U4,"0.##"),""))</f>
        <v>71.38, 95.08, 94.87</v>
      </c>
      <c r="W4" s="23">
        <f t="shared" ref="W4:W16" si="3">X4*4*K4</f>
        <v>258240</v>
      </c>
      <c r="X4" s="3">
        <v>1076</v>
      </c>
      <c r="Y4" s="23">
        <f t="shared" ref="Y4:Y16" si="4">IF(N4=0,U4*X4*4,IF(P4=0,N4*X4+U4*X4*3,IF(R4=0,N4*X4+P4*X4+U4*X4*2,N4*X4+P4*X4+R4*X4+U4*X4)))</f>
        <v>383262.592</v>
      </c>
      <c r="Z4" s="23">
        <f t="shared" ref="Z4:Z16" si="5">Y4-W4</f>
        <v>125022.592</v>
      </c>
      <c r="AA4" s="3">
        <v>80</v>
      </c>
      <c r="AB4" s="24">
        <f t="shared" ref="AB4:AB16" si="6">$AB$2*W4</f>
        <v>7.7472000000000003</v>
      </c>
      <c r="AC4" s="24">
        <f t="shared" ref="AC4:AC16" si="7">$AC$2*(Y4+W4)</f>
        <v>227.9258709376</v>
      </c>
      <c r="AD4" s="24">
        <f t="shared" ref="AD4:AD16" si="8">$AD$2*Y4</f>
        <v>383.26259200000004</v>
      </c>
      <c r="AE4" s="24">
        <f t="shared" ref="AE4:AE16" si="9">$AE$2*(Y4+W4)</f>
        <v>0.64150259199999993</v>
      </c>
      <c r="AF4" s="24">
        <f t="shared" ref="AF4:AF16" si="10">$AF$2*(AE4+AA4+AC4+AB4+AD4)</f>
        <v>125.92388979532801</v>
      </c>
      <c r="AG4" s="23">
        <f t="shared" ref="AG4:AG16" si="11">Z4-(AA4+AB4+AC4+AD4+AE4+AF4)</f>
        <v>124197.09094467507</v>
      </c>
      <c r="AH4" s="3"/>
      <c r="AI4" s="3"/>
      <c r="AJ4" s="3"/>
      <c r="AK4" s="3"/>
      <c r="AL4" s="2" t="s">
        <v>52</v>
      </c>
      <c r="AM4" s="3" t="s">
        <v>34</v>
      </c>
      <c r="AN4" s="3">
        <v>3.5</v>
      </c>
      <c r="AO4" s="3">
        <v>3.5</v>
      </c>
      <c r="AP4" s="3"/>
      <c r="AQ4" s="3">
        <v>3.5</v>
      </c>
      <c r="AR4" s="2" t="s">
        <v>52</v>
      </c>
      <c r="AS4" s="3">
        <v>3</v>
      </c>
      <c r="AT4" s="3" t="s">
        <v>75</v>
      </c>
      <c r="AU4" s="5" t="s">
        <v>76</v>
      </c>
      <c r="AV4" s="3" t="s">
        <v>42</v>
      </c>
      <c r="AW4" s="3"/>
      <c r="AX4" s="3" t="s">
        <v>61</v>
      </c>
      <c r="AY4" s="3">
        <v>0.60899999999999999</v>
      </c>
      <c r="AZ4" s="3">
        <v>0.45600000000000002</v>
      </c>
      <c r="BA4" s="3">
        <v>0.11</v>
      </c>
      <c r="BB4" s="3">
        <v>2.9</v>
      </c>
      <c r="BC4" s="3">
        <v>0.61899999999999999</v>
      </c>
      <c r="BD4" s="3">
        <v>1.0209999999999999</v>
      </c>
      <c r="BE4" s="2" t="s">
        <v>81</v>
      </c>
      <c r="BF4" s="2" t="s">
        <v>35</v>
      </c>
      <c r="BH4" s="2" t="s">
        <v>81</v>
      </c>
      <c r="BI4" s="3" t="s">
        <v>82</v>
      </c>
      <c r="BJ4" s="3" t="s">
        <v>83</v>
      </c>
      <c r="BK4" s="3">
        <v>0.42099999999999999</v>
      </c>
      <c r="BL4" s="3">
        <v>3.2429999999999999</v>
      </c>
      <c r="BM4" s="9" t="s">
        <v>50</v>
      </c>
    </row>
    <row r="5" spans="1:67" s="2" customFormat="1" ht="76" customHeight="1" x14ac:dyDescent="0.2">
      <c r="A5" s="2" t="s">
        <v>68</v>
      </c>
      <c r="B5" s="3" t="s">
        <v>38</v>
      </c>
      <c r="C5" s="7" t="s">
        <v>84</v>
      </c>
      <c r="D5" s="3" t="s">
        <v>39</v>
      </c>
      <c r="E5" s="3" t="s">
        <v>37</v>
      </c>
      <c r="F5" s="3" t="s">
        <v>40</v>
      </c>
      <c r="G5" s="3" t="str">
        <f>AO1</f>
        <v>B1 /5     Gap fade</v>
      </c>
      <c r="H5" s="3">
        <v>3.5</v>
      </c>
      <c r="I5" s="3" t="s">
        <v>165</v>
      </c>
      <c r="J5" s="3" t="s">
        <v>167</v>
      </c>
      <c r="K5" s="3">
        <v>75.7</v>
      </c>
      <c r="L5" s="24">
        <f t="shared" si="0"/>
        <v>79.484999999999999</v>
      </c>
      <c r="M5" s="24">
        <v>0</v>
      </c>
      <c r="N5" s="3">
        <v>0</v>
      </c>
      <c r="O5" s="3">
        <f>((P5-N5)/2)+N5</f>
        <v>0</v>
      </c>
      <c r="P5" s="3">
        <v>0</v>
      </c>
      <c r="Q5" s="3">
        <f t="shared" ref="Q5:Q16" si="12">P5-(P5*($U$2))</f>
        <v>0</v>
      </c>
      <c r="R5" s="3">
        <v>0</v>
      </c>
      <c r="S5" s="3"/>
      <c r="T5" s="3">
        <v>89.8</v>
      </c>
      <c r="U5" s="24">
        <f t="shared" si="1"/>
        <v>87.105999999999995</v>
      </c>
      <c r="V5" s="3" t="str">
        <f t="shared" si="2"/>
        <v>87.11</v>
      </c>
      <c r="W5" s="23">
        <f t="shared" si="3"/>
        <v>37850</v>
      </c>
      <c r="X5" s="3">
        <v>125</v>
      </c>
      <c r="Y5" s="23">
        <f t="shared" si="4"/>
        <v>43553</v>
      </c>
      <c r="Z5" s="23">
        <f t="shared" si="5"/>
        <v>5703</v>
      </c>
      <c r="AA5" s="3">
        <v>40</v>
      </c>
      <c r="AB5" s="24">
        <f t="shared" si="6"/>
        <v>1.1355</v>
      </c>
      <c r="AC5" s="24">
        <f t="shared" si="7"/>
        <v>28.922485900000002</v>
      </c>
      <c r="AD5" s="24">
        <f t="shared" si="8"/>
        <v>43.553000000000004</v>
      </c>
      <c r="AE5" s="24">
        <f t="shared" si="9"/>
        <v>8.1403000000000003E-2</v>
      </c>
      <c r="AF5" s="24">
        <f t="shared" si="10"/>
        <v>20.464630002</v>
      </c>
      <c r="AG5" s="23">
        <f t="shared" si="11"/>
        <v>5568.8429810979997</v>
      </c>
      <c r="AH5" s="3"/>
      <c r="AI5" s="3"/>
      <c r="AJ5" s="3"/>
      <c r="AK5" s="3"/>
      <c r="AL5" s="2" t="s">
        <v>52</v>
      </c>
      <c r="AM5" s="3" t="s">
        <v>34</v>
      </c>
      <c r="AN5" s="3">
        <v>3.5</v>
      </c>
      <c r="AO5" s="3">
        <v>3.5</v>
      </c>
      <c r="AP5" s="3"/>
      <c r="AQ5" s="3">
        <v>3</v>
      </c>
      <c r="AR5" s="2" t="s">
        <v>52</v>
      </c>
      <c r="AS5" s="3">
        <v>4</v>
      </c>
      <c r="AT5" s="3" t="s">
        <v>46</v>
      </c>
      <c r="AU5" s="5" t="s">
        <v>65</v>
      </c>
      <c r="AV5" s="3" t="s">
        <v>48</v>
      </c>
      <c r="AW5" s="3" t="s">
        <v>42</v>
      </c>
      <c r="AX5" s="3" t="s">
        <v>61</v>
      </c>
      <c r="AY5" s="3">
        <v>0.8</v>
      </c>
      <c r="AZ5" s="3">
        <v>0.626</v>
      </c>
      <c r="BA5" s="3">
        <v>0.626</v>
      </c>
      <c r="BB5" s="3">
        <v>2.9670000000000001</v>
      </c>
      <c r="BC5" s="3">
        <v>0.61899999999999999</v>
      </c>
      <c r="BD5" s="3">
        <v>1.147</v>
      </c>
      <c r="BE5" s="2" t="s">
        <v>85</v>
      </c>
      <c r="BF5" s="2" t="s">
        <v>35</v>
      </c>
      <c r="BH5" s="2" t="s">
        <v>85</v>
      </c>
      <c r="BI5" s="3" t="s">
        <v>78</v>
      </c>
      <c r="BJ5" s="3" t="s">
        <v>86</v>
      </c>
      <c r="BK5" s="3">
        <v>1.1919999999999999</v>
      </c>
      <c r="BL5" s="3">
        <v>2.79</v>
      </c>
      <c r="BM5" s="10" t="s">
        <v>44</v>
      </c>
    </row>
    <row r="6" spans="1:67" s="26" customFormat="1" ht="76" customHeight="1" x14ac:dyDescent="0.2">
      <c r="A6" s="26" t="s">
        <v>68</v>
      </c>
      <c r="B6" s="27" t="s">
        <v>69</v>
      </c>
      <c r="C6" s="28" t="s">
        <v>74</v>
      </c>
      <c r="D6" s="27" t="s">
        <v>39</v>
      </c>
      <c r="E6" s="27" t="s">
        <v>37</v>
      </c>
      <c r="F6" s="27" t="s">
        <v>40</v>
      </c>
      <c r="G6" s="27" t="str">
        <f>AQ1</f>
        <v>B3 /5 In-Trend Strength</v>
      </c>
      <c r="H6" s="27">
        <f>AQ6</f>
        <v>4.5</v>
      </c>
      <c r="I6" s="27" t="s">
        <v>61</v>
      </c>
      <c r="J6" s="27"/>
      <c r="K6" s="27"/>
      <c r="L6" s="29">
        <f t="shared" si="0"/>
        <v>0</v>
      </c>
      <c r="M6" s="29">
        <f t="shared" ref="M6:M16" si="13">((N6-L6)/2)+L6</f>
        <v>0</v>
      </c>
      <c r="N6" s="27"/>
      <c r="O6" s="27">
        <f>((P6-N6)/2)+N6</f>
        <v>0</v>
      </c>
      <c r="P6" s="27"/>
      <c r="Q6" s="27">
        <f t="shared" si="12"/>
        <v>0</v>
      </c>
      <c r="R6" s="27" t="str">
        <f>_xlfn.TEXTJOIN(", ",TRUE,IF(AND(ISNUMBER(J6),J6&lt;&gt;0),TEXT(J6,"0.##"),""),IF(AND(ISNUMBER(L6),L6&lt;&gt;0),TEXT(L6,"0.##"),""),IF(AND(ISNUMBER(N6),N6&lt;&gt;0),TEXT(N6,"0.##"),""),IF(AND(ISNUMBER(Q6),Q6&lt;&gt;0),TEXT(Q6,"0.##"),""))</f>
        <v/>
      </c>
      <c r="S6" s="27"/>
      <c r="T6" s="27">
        <f>IF(P6=0,IF(M6=0,IF(K6=0,H6*S6*4,(H6*S6)+(K6*S6*3)),(H6*S6)+(K6*S6)+(M6*S6*2)),(H6*S6)+(K6*S6)+(M6*S6)+(P6*S6))</f>
        <v>0</v>
      </c>
      <c r="U6" s="29">
        <f t="shared" si="1"/>
        <v>0</v>
      </c>
      <c r="V6" s="27" t="str">
        <f t="shared" si="2"/>
        <v/>
      </c>
      <c r="W6" s="30">
        <f t="shared" si="3"/>
        <v>0</v>
      </c>
      <c r="X6" s="27"/>
      <c r="Y6" s="30">
        <f t="shared" si="4"/>
        <v>0</v>
      </c>
      <c r="Z6" s="30">
        <f t="shared" si="5"/>
        <v>0</v>
      </c>
      <c r="AA6" s="27">
        <v>0</v>
      </c>
      <c r="AB6" s="29">
        <f t="shared" si="6"/>
        <v>0</v>
      </c>
      <c r="AC6" s="29">
        <f t="shared" si="7"/>
        <v>0</v>
      </c>
      <c r="AD6" s="29">
        <f t="shared" si="8"/>
        <v>0</v>
      </c>
      <c r="AE6" s="29">
        <f t="shared" si="9"/>
        <v>0</v>
      </c>
      <c r="AF6" s="29">
        <f t="shared" si="10"/>
        <v>0</v>
      </c>
      <c r="AG6" s="30">
        <f t="shared" si="11"/>
        <v>0</v>
      </c>
      <c r="AH6" s="27"/>
      <c r="AI6" s="27"/>
      <c r="AJ6" s="27"/>
      <c r="AK6" s="27"/>
      <c r="AL6" s="26" t="s">
        <v>52</v>
      </c>
      <c r="AM6" s="27" t="s">
        <v>34</v>
      </c>
      <c r="AN6" s="27">
        <v>3</v>
      </c>
      <c r="AO6" s="27">
        <v>3</v>
      </c>
      <c r="AP6" s="27"/>
      <c r="AQ6" s="27">
        <v>4.5</v>
      </c>
      <c r="AR6" s="26" t="s">
        <v>52</v>
      </c>
      <c r="AS6" s="27">
        <v>2</v>
      </c>
      <c r="AT6" s="27" t="s">
        <v>75</v>
      </c>
      <c r="AU6" s="31" t="s">
        <v>76</v>
      </c>
      <c r="AV6" s="27" t="s">
        <v>42</v>
      </c>
      <c r="AW6" s="27"/>
      <c r="AX6" s="27" t="s">
        <v>61</v>
      </c>
      <c r="AY6" s="27">
        <v>0.44400000000000001</v>
      </c>
      <c r="AZ6" s="27">
        <v>0</v>
      </c>
      <c r="BA6" s="27">
        <v>-0.03</v>
      </c>
      <c r="BB6" s="27">
        <v>3.1779999999999999</v>
      </c>
      <c r="BC6" s="27">
        <v>0.61499999999999999</v>
      </c>
      <c r="BD6" s="27">
        <v>1.6459999999999999</v>
      </c>
      <c r="BE6" s="26" t="s">
        <v>77</v>
      </c>
      <c r="BF6" s="26" t="s">
        <v>35</v>
      </c>
      <c r="BH6" s="26" t="s">
        <v>77</v>
      </c>
      <c r="BI6" s="27" t="s">
        <v>78</v>
      </c>
      <c r="BJ6" s="27" t="s">
        <v>79</v>
      </c>
      <c r="BK6" s="27">
        <v>3.0369999999999999</v>
      </c>
      <c r="BL6" s="27">
        <v>-0.184</v>
      </c>
      <c r="BM6" s="27" t="s">
        <v>44</v>
      </c>
    </row>
    <row r="7" spans="1:67" s="2" customFormat="1" ht="76" customHeight="1" x14ac:dyDescent="0.2">
      <c r="A7" s="2" t="s">
        <v>68</v>
      </c>
      <c r="B7" s="3" t="s">
        <v>69</v>
      </c>
      <c r="C7" s="7" t="s">
        <v>70</v>
      </c>
      <c r="D7" s="3" t="s">
        <v>39</v>
      </c>
      <c r="E7" s="3" t="s">
        <v>37</v>
      </c>
      <c r="F7" s="3" t="s">
        <v>34</v>
      </c>
      <c r="G7" s="3" t="str">
        <f>AQ1</f>
        <v>B3 /5 In-Trend Strength</v>
      </c>
      <c r="H7" s="3">
        <f>AQ7</f>
        <v>2</v>
      </c>
      <c r="I7" s="3" t="s">
        <v>165</v>
      </c>
      <c r="J7" s="3" t="s">
        <v>168</v>
      </c>
      <c r="K7" s="3">
        <v>17.45</v>
      </c>
      <c r="L7" s="24">
        <f t="shared" si="0"/>
        <v>18.322499999999998</v>
      </c>
      <c r="M7" s="24">
        <f t="shared" si="13"/>
        <v>18.511249999999997</v>
      </c>
      <c r="N7" s="3">
        <v>18.7</v>
      </c>
      <c r="O7" s="3">
        <v>0</v>
      </c>
      <c r="P7" s="3">
        <v>0</v>
      </c>
      <c r="Q7" s="3">
        <f t="shared" si="12"/>
        <v>0</v>
      </c>
      <c r="R7" s="3">
        <v>0</v>
      </c>
      <c r="S7" s="3"/>
      <c r="T7" s="3">
        <v>20.6</v>
      </c>
      <c r="U7" s="24">
        <f t="shared" si="1"/>
        <v>19.982000000000003</v>
      </c>
      <c r="V7" s="3" t="str">
        <f t="shared" si="2"/>
        <v>18.7, 19.98</v>
      </c>
      <c r="W7" s="23">
        <f t="shared" si="3"/>
        <v>43625</v>
      </c>
      <c r="X7" s="3">
        <v>625</v>
      </c>
      <c r="Y7" s="23">
        <f t="shared" si="4"/>
        <v>49153.750000000007</v>
      </c>
      <c r="Z7" s="23">
        <f t="shared" si="5"/>
        <v>5528.7500000000073</v>
      </c>
      <c r="AA7" s="3">
        <v>60</v>
      </c>
      <c r="AB7" s="24">
        <f t="shared" si="6"/>
        <v>1.3087500000000001</v>
      </c>
      <c r="AC7" s="24">
        <f t="shared" si="7"/>
        <v>32.964289874999999</v>
      </c>
      <c r="AD7" s="24">
        <f t="shared" si="8"/>
        <v>49.153750000000009</v>
      </c>
      <c r="AE7" s="24">
        <f t="shared" si="9"/>
        <v>9.2778749999999993E-2</v>
      </c>
      <c r="AF7" s="24">
        <f t="shared" si="10"/>
        <v>25.833522352500001</v>
      </c>
      <c r="AG7" s="23">
        <f t="shared" si="11"/>
        <v>5359.3969090225073</v>
      </c>
      <c r="AH7" s="3"/>
      <c r="AI7" s="3"/>
      <c r="AJ7" s="3"/>
      <c r="AK7" s="3"/>
      <c r="AL7" s="2" t="s">
        <v>52</v>
      </c>
      <c r="AM7" s="3" t="s">
        <v>40</v>
      </c>
      <c r="AN7" s="3">
        <v>1</v>
      </c>
      <c r="AO7" s="3">
        <v>1</v>
      </c>
      <c r="AP7" s="3"/>
      <c r="AQ7" s="3">
        <v>2</v>
      </c>
      <c r="AR7" s="2" t="s">
        <v>52</v>
      </c>
      <c r="AS7" s="3">
        <v>1</v>
      </c>
      <c r="AT7" s="3" t="s">
        <v>66</v>
      </c>
      <c r="AU7" s="5" t="s">
        <v>41</v>
      </c>
      <c r="AV7" s="3" t="s">
        <v>67</v>
      </c>
      <c r="AW7" s="3"/>
      <c r="AX7" s="3" t="s">
        <v>61</v>
      </c>
      <c r="AY7" s="3">
        <v>0.28299999999999997</v>
      </c>
      <c r="AZ7" s="3">
        <v>9.2999999999999999E-2</v>
      </c>
      <c r="BA7" s="3">
        <v>-0.12</v>
      </c>
      <c r="BB7" s="3">
        <v>1.032</v>
      </c>
      <c r="BC7" s="3">
        <v>0.39</v>
      </c>
      <c r="BD7" s="3">
        <v>0.65</v>
      </c>
      <c r="BE7" s="2" t="s">
        <v>71</v>
      </c>
      <c r="BF7" s="2" t="s">
        <v>35</v>
      </c>
      <c r="BH7" s="2" t="s">
        <v>71</v>
      </c>
      <c r="BI7" s="3" t="s">
        <v>72</v>
      </c>
      <c r="BJ7" s="3" t="s">
        <v>73</v>
      </c>
      <c r="BK7" s="3">
        <v>0.21299999999999999</v>
      </c>
      <c r="BL7" s="3">
        <v>1.556</v>
      </c>
      <c r="BM7" s="9" t="s">
        <v>50</v>
      </c>
    </row>
    <row r="8" spans="1:67" s="2" customFormat="1" ht="76" customHeight="1" x14ac:dyDescent="0.2">
      <c r="A8" s="2" t="s">
        <v>94</v>
      </c>
      <c r="B8" s="3" t="s">
        <v>58</v>
      </c>
      <c r="C8" s="7" t="s">
        <v>101</v>
      </c>
      <c r="D8" s="3" t="s">
        <v>39</v>
      </c>
      <c r="E8" s="3" t="s">
        <v>59</v>
      </c>
      <c r="F8" s="3" t="s">
        <v>40</v>
      </c>
      <c r="G8" s="3" t="str">
        <f>AO1</f>
        <v>B1 /5     Gap fade</v>
      </c>
      <c r="H8" s="3">
        <f>AO8</f>
        <v>2.5</v>
      </c>
      <c r="I8" s="3" t="s">
        <v>165</v>
      </c>
      <c r="J8" s="3" t="s">
        <v>169</v>
      </c>
      <c r="K8" s="3">
        <v>13.55</v>
      </c>
      <c r="L8" s="24">
        <f t="shared" si="0"/>
        <v>14.227500000000001</v>
      </c>
      <c r="M8" s="24">
        <f t="shared" si="13"/>
        <v>14.98875</v>
      </c>
      <c r="N8" s="3">
        <v>15.75</v>
      </c>
      <c r="O8" s="3">
        <v>0</v>
      </c>
      <c r="P8" s="3">
        <v>0</v>
      </c>
      <c r="Q8" s="3">
        <f t="shared" si="12"/>
        <v>0</v>
      </c>
      <c r="R8" s="3">
        <v>0</v>
      </c>
      <c r="S8" s="3"/>
      <c r="T8" s="3">
        <v>16.8</v>
      </c>
      <c r="U8" s="24">
        <f t="shared" si="1"/>
        <v>16.295999999999999</v>
      </c>
      <c r="V8" s="3" t="str">
        <f t="shared" si="2"/>
        <v>15.75, 16.3</v>
      </c>
      <c r="W8" s="23">
        <f t="shared" si="3"/>
        <v>27100</v>
      </c>
      <c r="X8" s="3">
        <v>500</v>
      </c>
      <c r="Y8" s="23">
        <f t="shared" si="4"/>
        <v>32319</v>
      </c>
      <c r="Z8" s="23">
        <f t="shared" si="5"/>
        <v>5219</v>
      </c>
      <c r="AA8" s="3">
        <v>60</v>
      </c>
      <c r="AB8" s="24">
        <f t="shared" si="6"/>
        <v>0.81300000000000006</v>
      </c>
      <c r="AC8" s="24">
        <f t="shared" si="7"/>
        <v>21.111570700000001</v>
      </c>
      <c r="AD8" s="24">
        <f t="shared" si="8"/>
        <v>32.319000000000003</v>
      </c>
      <c r="AE8" s="24">
        <f t="shared" si="9"/>
        <v>5.9419E-2</v>
      </c>
      <c r="AF8" s="24">
        <f t="shared" si="10"/>
        <v>20.574538146000002</v>
      </c>
      <c r="AG8" s="23">
        <f t="shared" si="11"/>
        <v>5084.1224721540002</v>
      </c>
      <c r="AH8" s="3"/>
      <c r="AI8" s="3"/>
      <c r="AJ8" s="3"/>
      <c r="AK8" s="3"/>
      <c r="AL8" s="2" t="s">
        <v>52</v>
      </c>
      <c r="AM8" s="3" t="s">
        <v>34</v>
      </c>
      <c r="AN8" s="3">
        <v>2.5</v>
      </c>
      <c r="AO8" s="3">
        <v>2.5</v>
      </c>
      <c r="AP8" s="3"/>
      <c r="AQ8" s="3">
        <v>4.5</v>
      </c>
      <c r="AR8" s="2" t="s">
        <v>52</v>
      </c>
      <c r="AS8" s="3">
        <v>2</v>
      </c>
      <c r="AT8" s="3" t="s">
        <v>53</v>
      </c>
      <c r="AU8" s="5" t="s">
        <v>54</v>
      </c>
      <c r="AV8" s="3"/>
      <c r="AW8" s="3"/>
      <c r="AX8" s="3" t="s">
        <v>61</v>
      </c>
      <c r="AY8" s="3">
        <v>0.53500000000000003</v>
      </c>
      <c r="AZ8" s="3">
        <v>0.629</v>
      </c>
      <c r="BA8" s="3">
        <v>0.441</v>
      </c>
      <c r="BB8" s="3">
        <v>3.6160000000000001</v>
      </c>
      <c r="BC8" s="3">
        <v>0.78400000000000003</v>
      </c>
      <c r="BD8" s="3">
        <v>1.1259999999999999</v>
      </c>
      <c r="BE8" s="2" t="s">
        <v>102</v>
      </c>
      <c r="BF8" s="2" t="s">
        <v>103</v>
      </c>
      <c r="BG8" s="2" t="s">
        <v>103</v>
      </c>
      <c r="BH8" s="2" t="s">
        <v>102</v>
      </c>
      <c r="BI8" s="3" t="s">
        <v>104</v>
      </c>
      <c r="BJ8" s="3" t="s">
        <v>105</v>
      </c>
      <c r="BK8" s="3">
        <v>1.3779999999999999</v>
      </c>
      <c r="BL8" s="3">
        <v>0.30499999999999999</v>
      </c>
      <c r="BM8" s="10" t="s">
        <v>44</v>
      </c>
    </row>
    <row r="9" spans="1:67" s="26" customFormat="1" ht="76" customHeight="1" x14ac:dyDescent="0.2">
      <c r="A9" s="26" t="s">
        <v>94</v>
      </c>
      <c r="B9" s="27" t="s">
        <v>106</v>
      </c>
      <c r="C9" s="28" t="s">
        <v>107</v>
      </c>
      <c r="D9" s="27" t="s">
        <v>39</v>
      </c>
      <c r="E9" s="27" t="s">
        <v>37</v>
      </c>
      <c r="F9" s="27" t="s">
        <v>34</v>
      </c>
      <c r="G9" s="27"/>
      <c r="H9" s="27"/>
      <c r="I9" s="27"/>
      <c r="J9" s="27" t="s">
        <v>170</v>
      </c>
      <c r="K9" s="27">
        <v>5.4</v>
      </c>
      <c r="L9" s="29">
        <f t="shared" si="0"/>
        <v>5.67</v>
      </c>
      <c r="M9" s="29">
        <f t="shared" si="13"/>
        <v>5.7850000000000001</v>
      </c>
      <c r="N9" s="27">
        <v>5.9</v>
      </c>
      <c r="O9" s="27">
        <v>0</v>
      </c>
      <c r="P9" s="27">
        <v>0</v>
      </c>
      <c r="Q9" s="27">
        <f t="shared" si="12"/>
        <v>0</v>
      </c>
      <c r="R9" s="27">
        <v>0</v>
      </c>
      <c r="S9" s="27"/>
      <c r="T9" s="27">
        <v>5.9</v>
      </c>
      <c r="U9" s="29">
        <f t="shared" si="1"/>
        <v>5.7230000000000008</v>
      </c>
      <c r="V9" s="27" t="str">
        <f t="shared" si="2"/>
        <v>5.9, 5.72</v>
      </c>
      <c r="W9" s="30">
        <f t="shared" si="3"/>
        <v>39420</v>
      </c>
      <c r="X9" s="27">
        <v>1825</v>
      </c>
      <c r="Y9" s="30">
        <f t="shared" si="4"/>
        <v>42100.925000000003</v>
      </c>
      <c r="Z9" s="30">
        <f t="shared" si="5"/>
        <v>2680.9250000000029</v>
      </c>
      <c r="AA9" s="27">
        <v>60</v>
      </c>
      <c r="AB9" s="29">
        <f t="shared" si="6"/>
        <v>1.1826000000000001</v>
      </c>
      <c r="AC9" s="29">
        <f t="shared" si="7"/>
        <v>28.964384652500001</v>
      </c>
      <c r="AD9" s="29">
        <f t="shared" si="8"/>
        <v>42.100925000000004</v>
      </c>
      <c r="AE9" s="29">
        <f t="shared" si="9"/>
        <v>8.1520924999999994E-2</v>
      </c>
      <c r="AF9" s="29">
        <f t="shared" si="10"/>
        <v>23.819297503950001</v>
      </c>
      <c r="AG9" s="30">
        <f t="shared" si="11"/>
        <v>2524.776271918553</v>
      </c>
      <c r="AH9" s="27"/>
      <c r="AI9" s="27"/>
      <c r="AJ9" s="27"/>
      <c r="AK9" s="27"/>
      <c r="AL9" s="26" t="s">
        <v>52</v>
      </c>
      <c r="AM9" s="27" t="s">
        <v>40</v>
      </c>
      <c r="AN9" s="27">
        <v>2</v>
      </c>
      <c r="AO9" s="27">
        <v>2</v>
      </c>
      <c r="AP9" s="27"/>
      <c r="AQ9" s="27">
        <v>1.5</v>
      </c>
      <c r="AR9" s="26" t="s">
        <v>52</v>
      </c>
      <c r="AS9" s="27">
        <v>1</v>
      </c>
      <c r="AT9" s="27" t="s">
        <v>63</v>
      </c>
      <c r="AU9" s="31" t="s">
        <v>41</v>
      </c>
      <c r="AV9" s="27"/>
      <c r="AW9" s="27"/>
      <c r="AX9" s="27" t="s">
        <v>61</v>
      </c>
      <c r="AY9" s="27">
        <v>0.33200000000000002</v>
      </c>
      <c r="AZ9" s="27">
        <v>0.20799999999999999</v>
      </c>
      <c r="BA9" s="27">
        <v>0.311</v>
      </c>
      <c r="BB9" s="27">
        <v>1.506</v>
      </c>
      <c r="BC9" s="27">
        <v>0.22900000000000001</v>
      </c>
      <c r="BD9" s="27">
        <v>0.52500000000000002</v>
      </c>
      <c r="BE9" s="26" t="s">
        <v>108</v>
      </c>
      <c r="BF9" s="26" t="s">
        <v>109</v>
      </c>
      <c r="BG9" s="26" t="s">
        <v>109</v>
      </c>
      <c r="BH9" s="26" t="s">
        <v>108</v>
      </c>
      <c r="BI9" s="27" t="s">
        <v>98</v>
      </c>
      <c r="BJ9" s="27" t="s">
        <v>110</v>
      </c>
      <c r="BK9" s="27">
        <v>0.59599999999999997</v>
      </c>
      <c r="BL9" s="27">
        <v>1.381</v>
      </c>
      <c r="BM9" s="27" t="s">
        <v>44</v>
      </c>
    </row>
    <row r="10" spans="1:67" s="2" customFormat="1" ht="76" customHeight="1" x14ac:dyDescent="0.2">
      <c r="A10" s="2" t="s">
        <v>94</v>
      </c>
      <c r="B10" s="3" t="s">
        <v>38</v>
      </c>
      <c r="C10" s="7" t="s">
        <v>95</v>
      </c>
      <c r="D10" s="3" t="s">
        <v>39</v>
      </c>
      <c r="E10" s="3" t="s">
        <v>33</v>
      </c>
      <c r="F10" s="3" t="s">
        <v>40</v>
      </c>
      <c r="G10" s="3" t="str">
        <f>AQ1</f>
        <v>B3 /5 In-Trend Strength</v>
      </c>
      <c r="H10" s="3">
        <f>AQ10</f>
        <v>2.5</v>
      </c>
      <c r="I10" s="3" t="s">
        <v>165</v>
      </c>
      <c r="J10" s="3" t="s">
        <v>171</v>
      </c>
      <c r="K10" s="3">
        <v>14.75</v>
      </c>
      <c r="L10" s="24">
        <f t="shared" si="0"/>
        <v>15.487500000000001</v>
      </c>
      <c r="M10" s="24">
        <f t="shared" si="13"/>
        <v>15.68375</v>
      </c>
      <c r="N10" s="3">
        <v>15.88</v>
      </c>
      <c r="O10" s="3">
        <f>((P10-N10)/2)+N10</f>
        <v>16.940000000000001</v>
      </c>
      <c r="P10" s="3">
        <v>18</v>
      </c>
      <c r="Q10" s="3">
        <f t="shared" si="12"/>
        <v>17.46</v>
      </c>
      <c r="R10" s="3">
        <v>18.100000000000001</v>
      </c>
      <c r="S10" s="3"/>
      <c r="T10" s="3">
        <v>18.5</v>
      </c>
      <c r="U10" s="24">
        <f t="shared" si="1"/>
        <v>17.945</v>
      </c>
      <c r="V10" s="3" t="str">
        <f t="shared" si="2"/>
        <v>15.88, 18., 18.1, 17.95</v>
      </c>
      <c r="W10" s="23">
        <f t="shared" si="3"/>
        <v>22125</v>
      </c>
      <c r="X10" s="3">
        <v>375</v>
      </c>
      <c r="Y10" s="23">
        <f t="shared" si="4"/>
        <v>26221.875</v>
      </c>
      <c r="Z10" s="23">
        <f t="shared" si="5"/>
        <v>4096.875</v>
      </c>
      <c r="AA10" s="3">
        <v>100</v>
      </c>
      <c r="AB10" s="24">
        <f t="shared" si="6"/>
        <v>0.66375000000000006</v>
      </c>
      <c r="AC10" s="24">
        <f t="shared" si="7"/>
        <v>17.177644687499999</v>
      </c>
      <c r="AD10" s="24">
        <f t="shared" si="8"/>
        <v>26.221875000000001</v>
      </c>
      <c r="AE10" s="24">
        <f t="shared" si="9"/>
        <v>4.8346874999999997E-2</v>
      </c>
      <c r="AF10" s="24">
        <f t="shared" si="10"/>
        <v>25.940090981249998</v>
      </c>
      <c r="AG10" s="23">
        <f t="shared" si="11"/>
        <v>3926.8232924562499</v>
      </c>
      <c r="AH10" s="3"/>
      <c r="AI10" s="3"/>
      <c r="AJ10" s="3"/>
      <c r="AK10" s="3"/>
      <c r="AL10" s="2" t="s">
        <v>52</v>
      </c>
      <c r="AM10" s="3" t="s">
        <v>34</v>
      </c>
      <c r="AN10" s="3">
        <v>1.5</v>
      </c>
      <c r="AO10" s="3">
        <v>1.5</v>
      </c>
      <c r="AP10" s="3"/>
      <c r="AQ10" s="3">
        <v>2.5</v>
      </c>
      <c r="AR10" s="2" t="s">
        <v>52</v>
      </c>
      <c r="AS10" s="3">
        <v>1</v>
      </c>
      <c r="AT10" s="3" t="s">
        <v>46</v>
      </c>
      <c r="AU10" s="5" t="s">
        <v>60</v>
      </c>
      <c r="AV10" s="3" t="s">
        <v>42</v>
      </c>
      <c r="AW10" s="3"/>
      <c r="AX10" s="3" t="s">
        <v>61</v>
      </c>
      <c r="AY10" s="3">
        <v>0.29699999999999999</v>
      </c>
      <c r="AZ10" s="3">
        <v>0.33700000000000002</v>
      </c>
      <c r="BA10" s="3">
        <v>0.11700000000000001</v>
      </c>
      <c r="BB10" s="3">
        <v>0.80800000000000005</v>
      </c>
      <c r="BC10" s="3">
        <v>0.78</v>
      </c>
      <c r="BD10" s="3">
        <v>0.70499999999999996</v>
      </c>
      <c r="BE10" s="2" t="s">
        <v>96</v>
      </c>
      <c r="BF10" s="2" t="s">
        <v>97</v>
      </c>
      <c r="BG10" s="2" t="s">
        <v>97</v>
      </c>
      <c r="BH10" s="2" t="s">
        <v>96</v>
      </c>
      <c r="BI10" s="3" t="s">
        <v>98</v>
      </c>
      <c r="BJ10" s="3" t="s">
        <v>99</v>
      </c>
      <c r="BK10" s="3">
        <v>0.36799999999999999</v>
      </c>
      <c r="BL10" s="3">
        <v>1.0309999999999999</v>
      </c>
      <c r="BM10" s="9" t="s">
        <v>50</v>
      </c>
    </row>
    <row r="11" spans="1:67" s="2" customFormat="1" ht="76" customHeight="1" x14ac:dyDescent="0.2">
      <c r="A11" s="2" t="s">
        <v>112</v>
      </c>
      <c r="B11" s="3" t="s">
        <v>45</v>
      </c>
      <c r="C11" s="7" t="s">
        <v>120</v>
      </c>
      <c r="D11" s="3" t="s">
        <v>39</v>
      </c>
      <c r="E11" s="3" t="s">
        <v>37</v>
      </c>
      <c r="F11" s="3" t="s">
        <v>34</v>
      </c>
      <c r="G11" s="3" t="str">
        <f>AO1</f>
        <v>B1 /5     Gap fade</v>
      </c>
      <c r="H11" s="3">
        <f>AO11</f>
        <v>5</v>
      </c>
      <c r="I11" s="3" t="s">
        <v>61</v>
      </c>
      <c r="J11" s="3" t="s">
        <v>172</v>
      </c>
      <c r="K11" s="3">
        <v>1.3</v>
      </c>
      <c r="L11" s="24">
        <f t="shared" si="0"/>
        <v>1.365</v>
      </c>
      <c r="M11" s="24">
        <v>0</v>
      </c>
      <c r="N11" s="3"/>
      <c r="O11" s="3">
        <f>((P11-N11)/2)+N11</f>
        <v>0</v>
      </c>
      <c r="P11" s="3">
        <v>0</v>
      </c>
      <c r="Q11" s="3">
        <f t="shared" si="12"/>
        <v>0</v>
      </c>
      <c r="R11" s="3">
        <v>0</v>
      </c>
      <c r="S11" s="3"/>
      <c r="T11" s="3">
        <v>1.9</v>
      </c>
      <c r="U11" s="24">
        <f t="shared" si="1"/>
        <v>1.843</v>
      </c>
      <c r="V11" s="3" t="str">
        <f t="shared" si="2"/>
        <v>1.84</v>
      </c>
      <c r="W11" s="23">
        <f t="shared" si="3"/>
        <v>41600</v>
      </c>
      <c r="X11" s="3">
        <v>8000</v>
      </c>
      <c r="Y11" s="23">
        <f t="shared" si="4"/>
        <v>58976</v>
      </c>
      <c r="Z11" s="23">
        <f t="shared" si="5"/>
        <v>17376</v>
      </c>
      <c r="AA11" s="3">
        <v>40</v>
      </c>
      <c r="AB11" s="24">
        <f t="shared" si="6"/>
        <v>1.248</v>
      </c>
      <c r="AC11" s="24">
        <f t="shared" si="7"/>
        <v>35.734652799999999</v>
      </c>
      <c r="AD11" s="24">
        <f t="shared" si="8"/>
        <v>58.975999999999999</v>
      </c>
      <c r="AE11" s="24">
        <f t="shared" si="9"/>
        <v>0.100576</v>
      </c>
      <c r="AF11" s="24">
        <f t="shared" si="10"/>
        <v>24.490661184</v>
      </c>
      <c r="AG11" s="23">
        <f t="shared" si="11"/>
        <v>17215.450110016001</v>
      </c>
      <c r="AH11" s="3"/>
      <c r="AI11" s="3"/>
      <c r="AJ11" s="3"/>
      <c r="AK11" s="3"/>
      <c r="AL11" s="2" t="s">
        <v>52</v>
      </c>
      <c r="AM11" s="3" t="s">
        <v>40</v>
      </c>
      <c r="AN11" s="3">
        <v>5</v>
      </c>
      <c r="AO11" s="3">
        <v>5</v>
      </c>
      <c r="AP11" s="3"/>
      <c r="AQ11" s="3">
        <v>3</v>
      </c>
      <c r="AR11" s="2" t="s">
        <v>52</v>
      </c>
      <c r="AS11" s="3">
        <v>4</v>
      </c>
      <c r="AT11" s="3" t="s">
        <v>92</v>
      </c>
      <c r="AU11" s="5" t="s">
        <v>87</v>
      </c>
      <c r="AV11" s="3"/>
      <c r="AW11" s="3" t="s">
        <v>89</v>
      </c>
      <c r="AX11" s="3"/>
      <c r="AY11" s="3">
        <v>1.6639999999999999</v>
      </c>
      <c r="AZ11" s="3">
        <v>1.5780000000000001</v>
      </c>
      <c r="BA11" s="3">
        <v>1.6639999999999999</v>
      </c>
      <c r="BB11" s="3">
        <v>15.566000000000001</v>
      </c>
      <c r="BC11" s="3">
        <v>0.438</v>
      </c>
      <c r="BD11" s="3">
        <v>2.617</v>
      </c>
      <c r="BE11" s="2" t="s">
        <v>121</v>
      </c>
      <c r="BF11" s="2" t="s">
        <v>35</v>
      </c>
      <c r="BH11" s="2" t="s">
        <v>121</v>
      </c>
      <c r="BI11" s="3" t="s">
        <v>119</v>
      </c>
      <c r="BJ11" s="3" t="s">
        <v>122</v>
      </c>
      <c r="BK11" s="3">
        <v>1.7270000000000001</v>
      </c>
      <c r="BL11" s="3">
        <v>0.17399999999999999</v>
      </c>
      <c r="BM11" s="10" t="s">
        <v>44</v>
      </c>
      <c r="BO11" s="2" t="s">
        <v>117</v>
      </c>
    </row>
    <row r="12" spans="1:67" s="2" customFormat="1" ht="76" customHeight="1" x14ac:dyDescent="0.2">
      <c r="A12" s="2" t="s">
        <v>112</v>
      </c>
      <c r="B12" s="3" t="s">
        <v>69</v>
      </c>
      <c r="C12" s="7" t="s">
        <v>70</v>
      </c>
      <c r="D12" s="3" t="s">
        <v>39</v>
      </c>
      <c r="E12" s="3" t="s">
        <v>37</v>
      </c>
      <c r="F12" s="3" t="s">
        <v>40</v>
      </c>
      <c r="G12" s="3" t="str">
        <f>AO1</f>
        <v>B1 /5     Gap fade</v>
      </c>
      <c r="H12" s="3">
        <f>AO12</f>
        <v>4.5</v>
      </c>
      <c r="I12" s="3" t="s">
        <v>165</v>
      </c>
      <c r="J12" s="3" t="s">
        <v>173</v>
      </c>
      <c r="K12" s="3">
        <v>13.65</v>
      </c>
      <c r="L12" s="24">
        <f t="shared" si="0"/>
        <v>14.3325</v>
      </c>
      <c r="M12" s="24">
        <f t="shared" si="13"/>
        <v>7.1662499999999998</v>
      </c>
      <c r="N12" s="3"/>
      <c r="O12" s="3">
        <f>((P12-N12)/2)+N12</f>
        <v>0</v>
      </c>
      <c r="P12" s="3">
        <v>0</v>
      </c>
      <c r="Q12" s="3">
        <f t="shared" si="12"/>
        <v>0</v>
      </c>
      <c r="R12" s="3">
        <v>0</v>
      </c>
      <c r="S12" s="3"/>
      <c r="T12" s="3">
        <v>15.3</v>
      </c>
      <c r="U12" s="24">
        <f t="shared" si="1"/>
        <v>14.841000000000001</v>
      </c>
      <c r="V12" s="3" t="str">
        <f t="shared" si="2"/>
        <v>14.84</v>
      </c>
      <c r="W12" s="23">
        <f t="shared" si="3"/>
        <v>34125</v>
      </c>
      <c r="X12" s="3">
        <v>625</v>
      </c>
      <c r="Y12" s="23">
        <f t="shared" si="4"/>
        <v>37102.5</v>
      </c>
      <c r="Z12" s="23">
        <f t="shared" si="5"/>
        <v>2977.5</v>
      </c>
      <c r="AA12" s="3">
        <v>40</v>
      </c>
      <c r="AB12" s="24">
        <f t="shared" si="6"/>
        <v>1.0237499999999999</v>
      </c>
      <c r="AC12" s="24">
        <f t="shared" si="7"/>
        <v>25.307130750000002</v>
      </c>
      <c r="AD12" s="24">
        <f t="shared" si="8"/>
        <v>37.102499999999999</v>
      </c>
      <c r="AE12" s="24">
        <f t="shared" si="9"/>
        <v>7.1227499999999999E-2</v>
      </c>
      <c r="AF12" s="24">
        <f t="shared" si="10"/>
        <v>18.630829485000003</v>
      </c>
      <c r="AG12" s="23">
        <f t="shared" si="11"/>
        <v>2855.3645622650001</v>
      </c>
      <c r="AH12" s="3"/>
      <c r="AI12" s="3"/>
      <c r="AJ12" s="3"/>
      <c r="AK12" s="3"/>
      <c r="AL12" s="2" t="s">
        <v>52</v>
      </c>
      <c r="AM12" s="3" t="s">
        <v>34</v>
      </c>
      <c r="AN12" s="3">
        <v>4.5</v>
      </c>
      <c r="AO12" s="3">
        <v>4.5</v>
      </c>
      <c r="AP12" s="3">
        <v>3</v>
      </c>
      <c r="AQ12" s="3">
        <v>2</v>
      </c>
      <c r="AR12" s="2" t="s">
        <v>52</v>
      </c>
      <c r="AS12" s="3">
        <v>4</v>
      </c>
      <c r="AT12" s="3" t="s">
        <v>88</v>
      </c>
      <c r="AU12" s="5" t="s">
        <v>87</v>
      </c>
      <c r="AV12" s="3" t="s">
        <v>42</v>
      </c>
      <c r="AW12" s="3" t="s">
        <v>113</v>
      </c>
      <c r="AX12" s="3"/>
      <c r="AY12" s="3">
        <v>1.3520000000000001</v>
      </c>
      <c r="AZ12" s="3">
        <v>0.97</v>
      </c>
      <c r="BA12" s="3">
        <v>1.256</v>
      </c>
      <c r="BB12" s="3">
        <v>4.3040000000000003</v>
      </c>
      <c r="BC12" s="3">
        <v>0.57099999999999995</v>
      </c>
      <c r="BD12" s="3">
        <v>2.1019999999999999</v>
      </c>
      <c r="BE12" s="2" t="s">
        <v>114</v>
      </c>
      <c r="BF12" s="2" t="s">
        <v>115</v>
      </c>
      <c r="BG12" s="2" t="s">
        <v>115</v>
      </c>
      <c r="BH12" s="2" t="s">
        <v>114</v>
      </c>
      <c r="BI12" s="3" t="s">
        <v>116</v>
      </c>
      <c r="BJ12" s="3" t="s">
        <v>62</v>
      </c>
      <c r="BK12" s="3">
        <v>0.95</v>
      </c>
      <c r="BL12" s="3">
        <v>0.27</v>
      </c>
      <c r="BM12" s="10" t="s">
        <v>44</v>
      </c>
      <c r="BO12" s="2" t="s">
        <v>117</v>
      </c>
    </row>
    <row r="13" spans="1:67" s="2" customFormat="1" ht="76" customHeight="1" x14ac:dyDescent="0.2">
      <c r="A13" s="2" t="s">
        <v>112</v>
      </c>
      <c r="B13" s="3" t="s">
        <v>45</v>
      </c>
      <c r="C13" s="7" t="s">
        <v>93</v>
      </c>
      <c r="D13" s="3" t="s">
        <v>39</v>
      </c>
      <c r="E13" s="3" t="s">
        <v>37</v>
      </c>
      <c r="F13" s="3" t="s">
        <v>34</v>
      </c>
      <c r="G13" s="3" t="str">
        <f>AO1</f>
        <v>B1 /5     Gap fade</v>
      </c>
      <c r="H13" s="3"/>
      <c r="I13" s="3" t="s">
        <v>61</v>
      </c>
      <c r="J13" s="3" t="s">
        <v>174</v>
      </c>
      <c r="K13" s="3">
        <v>13</v>
      </c>
      <c r="L13" s="24">
        <f t="shared" si="0"/>
        <v>13.65</v>
      </c>
      <c r="M13" s="24">
        <f t="shared" si="13"/>
        <v>6.8250000000000002</v>
      </c>
      <c r="N13" s="3"/>
      <c r="O13" s="3">
        <f>((P13-N13)/2)+N13</f>
        <v>0</v>
      </c>
      <c r="P13" s="3">
        <v>0</v>
      </c>
      <c r="Q13" s="3">
        <f t="shared" si="12"/>
        <v>0</v>
      </c>
      <c r="R13" s="3">
        <v>0</v>
      </c>
      <c r="S13" s="3" t="s">
        <v>175</v>
      </c>
      <c r="T13" s="3">
        <v>17</v>
      </c>
      <c r="U13" s="24">
        <f t="shared" si="1"/>
        <v>16.489999999999998</v>
      </c>
      <c r="V13" s="3" t="str">
        <f t="shared" si="2"/>
        <v>16.49</v>
      </c>
      <c r="W13" s="23">
        <f t="shared" si="3"/>
        <v>32500</v>
      </c>
      <c r="X13" s="3">
        <v>625</v>
      </c>
      <c r="Y13" s="23">
        <f t="shared" si="4"/>
        <v>41224.999999999993</v>
      </c>
      <c r="Z13" s="23">
        <f t="shared" si="5"/>
        <v>8724.9999999999927</v>
      </c>
      <c r="AA13" s="3">
        <v>40</v>
      </c>
      <c r="AB13" s="24">
        <f t="shared" si="6"/>
        <v>0.97499999999999998</v>
      </c>
      <c r="AC13" s="24">
        <f t="shared" si="7"/>
        <v>26.194492500000003</v>
      </c>
      <c r="AD13" s="24">
        <f t="shared" si="8"/>
        <v>41.224999999999994</v>
      </c>
      <c r="AE13" s="24">
        <f t="shared" si="9"/>
        <v>7.3724999999999999E-2</v>
      </c>
      <c r="AF13" s="24">
        <f t="shared" si="10"/>
        <v>19.524279149999998</v>
      </c>
      <c r="AG13" s="23">
        <f t="shared" si="11"/>
        <v>8597.0075033499925</v>
      </c>
      <c r="AH13" s="3"/>
      <c r="AI13" s="3"/>
      <c r="AJ13" s="3"/>
      <c r="AK13" s="3"/>
      <c r="AL13" s="2" t="s">
        <v>52</v>
      </c>
      <c r="AM13" s="3" t="s">
        <v>40</v>
      </c>
      <c r="AN13" s="3">
        <v>2.5</v>
      </c>
      <c r="AO13" s="3">
        <v>2.5</v>
      </c>
      <c r="AP13" s="3"/>
      <c r="AQ13" s="3">
        <v>2.5</v>
      </c>
      <c r="AR13" s="2" t="s">
        <v>52</v>
      </c>
      <c r="AS13" s="3">
        <v>3</v>
      </c>
      <c r="AT13" s="3" t="s">
        <v>90</v>
      </c>
      <c r="AU13" s="5" t="s">
        <v>60</v>
      </c>
      <c r="AV13" s="3"/>
      <c r="AW13" s="3"/>
      <c r="AX13" s="3" t="s">
        <v>49</v>
      </c>
      <c r="AY13" s="3">
        <v>0.14499999999999999</v>
      </c>
      <c r="AZ13" s="3">
        <v>0.252</v>
      </c>
      <c r="BA13" s="3">
        <v>5.2999999999999999E-2</v>
      </c>
      <c r="BB13" s="3">
        <v>2.1659999999999999</v>
      </c>
      <c r="BC13" s="3">
        <v>0.438</v>
      </c>
      <c r="BD13" s="3">
        <v>1.042</v>
      </c>
      <c r="BE13" s="2" t="s">
        <v>123</v>
      </c>
      <c r="BF13" s="2" t="s">
        <v>35</v>
      </c>
      <c r="BH13" s="2" t="s">
        <v>123</v>
      </c>
      <c r="BI13" s="3" t="s">
        <v>124</v>
      </c>
      <c r="BJ13" s="3" t="s">
        <v>125</v>
      </c>
      <c r="BK13" s="3">
        <v>3.6339999999999999</v>
      </c>
      <c r="BL13" s="3">
        <v>0.27500000000000002</v>
      </c>
      <c r="BM13" s="10" t="s">
        <v>44</v>
      </c>
      <c r="BO13" s="2" t="s">
        <v>118</v>
      </c>
    </row>
    <row r="14" spans="1:67" s="2" customFormat="1" ht="76" customHeight="1" x14ac:dyDescent="0.2">
      <c r="A14" s="2" t="s">
        <v>112</v>
      </c>
      <c r="B14" s="3" t="s">
        <v>58</v>
      </c>
      <c r="C14" s="7" t="s">
        <v>111</v>
      </c>
      <c r="D14" s="3" t="s">
        <v>39</v>
      </c>
      <c r="E14" s="3" t="s">
        <v>59</v>
      </c>
      <c r="F14" s="3" t="s">
        <v>34</v>
      </c>
      <c r="G14" s="3" t="str">
        <f>AQ1</f>
        <v>B3 /5 In-Trend Strength</v>
      </c>
      <c r="H14" s="3">
        <f>AQ14</f>
        <v>3.5</v>
      </c>
      <c r="I14" s="3" t="s">
        <v>165</v>
      </c>
      <c r="J14" s="3" t="s">
        <v>176</v>
      </c>
      <c r="K14" s="3">
        <v>4.8</v>
      </c>
      <c r="L14" s="24">
        <f t="shared" si="0"/>
        <v>5.04</v>
      </c>
      <c r="M14" s="24">
        <f t="shared" si="13"/>
        <v>2.52</v>
      </c>
      <c r="N14" s="3"/>
      <c r="O14" s="3">
        <f>((P14-N14)/2)+N14</f>
        <v>0</v>
      </c>
      <c r="P14" s="3">
        <v>0</v>
      </c>
      <c r="Q14" s="3">
        <f t="shared" si="12"/>
        <v>0</v>
      </c>
      <c r="R14" s="3">
        <v>0</v>
      </c>
      <c r="S14" s="3" t="s">
        <v>177</v>
      </c>
      <c r="T14" s="3">
        <v>5.5</v>
      </c>
      <c r="U14" s="24">
        <f t="shared" si="1"/>
        <v>5.335</v>
      </c>
      <c r="V14" s="3" t="str">
        <f t="shared" si="2"/>
        <v>5.34</v>
      </c>
      <c r="W14" s="23">
        <f t="shared" si="3"/>
        <v>15360</v>
      </c>
      <c r="X14" s="3">
        <v>800</v>
      </c>
      <c r="Y14" s="23">
        <f t="shared" si="4"/>
        <v>17072</v>
      </c>
      <c r="Z14" s="23">
        <f t="shared" si="5"/>
        <v>1712</v>
      </c>
      <c r="AA14" s="3">
        <v>40</v>
      </c>
      <c r="AB14" s="24">
        <f t="shared" si="6"/>
        <v>0.46079999999999999</v>
      </c>
      <c r="AC14" s="24">
        <f t="shared" si="7"/>
        <v>11.5230896</v>
      </c>
      <c r="AD14" s="24">
        <f t="shared" si="8"/>
        <v>17.071999999999999</v>
      </c>
      <c r="AE14" s="24">
        <f t="shared" si="9"/>
        <v>3.2431999999999996E-2</v>
      </c>
      <c r="AF14" s="24">
        <f t="shared" si="10"/>
        <v>12.435897888</v>
      </c>
      <c r="AG14" s="23">
        <f t="shared" si="11"/>
        <v>1630.475780512</v>
      </c>
      <c r="AH14" s="3"/>
      <c r="AI14" s="3"/>
      <c r="AJ14" s="3"/>
      <c r="AK14" s="3"/>
      <c r="AL14" s="2" t="s">
        <v>52</v>
      </c>
      <c r="AM14" s="3" t="s">
        <v>40</v>
      </c>
      <c r="AN14" s="3">
        <v>2</v>
      </c>
      <c r="AO14" s="3">
        <v>2</v>
      </c>
      <c r="AP14" s="3"/>
      <c r="AQ14" s="3">
        <v>3.5</v>
      </c>
      <c r="AR14" s="2" t="s">
        <v>52</v>
      </c>
      <c r="AS14" s="3">
        <v>1</v>
      </c>
      <c r="AT14" s="3" t="s">
        <v>90</v>
      </c>
      <c r="AU14" s="5" t="s">
        <v>47</v>
      </c>
      <c r="AV14" s="3"/>
      <c r="AW14" s="3"/>
      <c r="AX14" s="3" t="s">
        <v>49</v>
      </c>
      <c r="AY14" s="3">
        <v>0.32100000000000001</v>
      </c>
      <c r="AZ14" s="3">
        <v>0.13300000000000001</v>
      </c>
      <c r="BA14" s="3">
        <v>0.32100000000000001</v>
      </c>
      <c r="BB14" s="3">
        <v>4.5229999999999997</v>
      </c>
      <c r="BC14" s="3">
        <v>0.438</v>
      </c>
      <c r="BD14" s="3">
        <v>0.79700000000000004</v>
      </c>
      <c r="BE14" s="2" t="s">
        <v>126</v>
      </c>
      <c r="BF14" s="2" t="s">
        <v>127</v>
      </c>
      <c r="BG14" s="2" t="s">
        <v>127</v>
      </c>
      <c r="BH14" s="2" t="s">
        <v>126</v>
      </c>
      <c r="BI14" s="3" t="s">
        <v>100</v>
      </c>
      <c r="BJ14" s="3" t="s">
        <v>91</v>
      </c>
      <c r="BK14" s="3">
        <v>1.33</v>
      </c>
      <c r="BL14" s="3">
        <v>1.1759999999999999</v>
      </c>
      <c r="BM14" s="10" t="s">
        <v>44</v>
      </c>
      <c r="BO14" s="2" t="s">
        <v>117</v>
      </c>
    </row>
    <row r="15" spans="1:67" s="2" customFormat="1" ht="76" customHeight="1" x14ac:dyDescent="0.2">
      <c r="A15" s="2" t="s">
        <v>112</v>
      </c>
      <c r="B15" s="3" t="s">
        <v>58</v>
      </c>
      <c r="C15" s="7" t="s">
        <v>64</v>
      </c>
      <c r="D15" s="3" t="s">
        <v>39</v>
      </c>
      <c r="E15" s="3" t="s">
        <v>37</v>
      </c>
      <c r="F15" s="3" t="s">
        <v>34</v>
      </c>
      <c r="G15" s="3" t="str">
        <f>AQ1</f>
        <v>B3 /5 In-Trend Strength</v>
      </c>
      <c r="H15" s="3">
        <f>AQ15</f>
        <v>3</v>
      </c>
      <c r="I15" s="3" t="s">
        <v>165</v>
      </c>
      <c r="J15" s="3" t="s">
        <v>178</v>
      </c>
      <c r="K15" s="3">
        <v>3.39</v>
      </c>
      <c r="L15" s="24">
        <f t="shared" si="0"/>
        <v>3.5595000000000003</v>
      </c>
      <c r="M15" s="24">
        <f t="shared" si="13"/>
        <v>3.8047500000000003</v>
      </c>
      <c r="N15" s="3">
        <v>4.05</v>
      </c>
      <c r="O15" s="3">
        <v>0</v>
      </c>
      <c r="P15" s="3">
        <v>0</v>
      </c>
      <c r="Q15" s="3">
        <f t="shared" si="12"/>
        <v>0</v>
      </c>
      <c r="R15" s="3">
        <v>0</v>
      </c>
      <c r="S15" s="3"/>
      <c r="T15" s="3">
        <v>4.2</v>
      </c>
      <c r="U15" s="24">
        <f t="shared" si="1"/>
        <v>4.0739999999999998</v>
      </c>
      <c r="V15" s="3" t="str">
        <f t="shared" si="2"/>
        <v>4.05, 4.07</v>
      </c>
      <c r="W15" s="23">
        <f t="shared" si="3"/>
        <v>60003</v>
      </c>
      <c r="X15" s="3">
        <v>4425</v>
      </c>
      <c r="Y15" s="23">
        <f t="shared" si="4"/>
        <v>72003.600000000006</v>
      </c>
      <c r="Z15" s="23">
        <f t="shared" si="5"/>
        <v>12000.600000000006</v>
      </c>
      <c r="AA15" s="3">
        <v>60</v>
      </c>
      <c r="AB15" s="24">
        <f t="shared" si="6"/>
        <v>1.80009</v>
      </c>
      <c r="AC15" s="24">
        <f t="shared" si="7"/>
        <v>46.901944980000003</v>
      </c>
      <c r="AD15" s="24">
        <f t="shared" si="8"/>
        <v>72.003600000000006</v>
      </c>
      <c r="AE15" s="24">
        <f t="shared" si="9"/>
        <v>0.1320066</v>
      </c>
      <c r="AF15" s="24">
        <f t="shared" si="10"/>
        <v>32.550775484400006</v>
      </c>
      <c r="AG15" s="23">
        <f t="shared" si="11"/>
        <v>11787.211582935606</v>
      </c>
      <c r="AH15" s="3"/>
      <c r="AI15" s="3"/>
      <c r="AJ15" s="3"/>
      <c r="AK15" s="3"/>
      <c r="AL15" s="2" t="s">
        <v>52</v>
      </c>
      <c r="AM15" s="3" t="s">
        <v>40</v>
      </c>
      <c r="AN15" s="3">
        <v>2</v>
      </c>
      <c r="AO15" s="3">
        <v>2</v>
      </c>
      <c r="AP15" s="3"/>
      <c r="AQ15" s="3">
        <v>3</v>
      </c>
      <c r="AR15" s="2" t="s">
        <v>52</v>
      </c>
      <c r="AS15" s="3">
        <v>2</v>
      </c>
      <c r="AT15" s="3" t="s">
        <v>53</v>
      </c>
      <c r="AU15" s="5" t="s">
        <v>54</v>
      </c>
      <c r="AV15" s="3"/>
      <c r="AW15" s="3"/>
      <c r="AX15" s="3" t="s">
        <v>49</v>
      </c>
      <c r="AY15" s="3">
        <v>0.45200000000000001</v>
      </c>
      <c r="AZ15" s="3">
        <v>0.249</v>
      </c>
      <c r="BA15" s="3">
        <v>0.20200000000000001</v>
      </c>
      <c r="BB15" s="3">
        <v>3.14</v>
      </c>
      <c r="BC15" s="3">
        <v>0.42899999999999999</v>
      </c>
      <c r="BD15" s="3">
        <v>1.133</v>
      </c>
      <c r="BE15" s="2" t="s">
        <v>128</v>
      </c>
      <c r="BF15" s="2" t="s">
        <v>129</v>
      </c>
      <c r="BG15" s="2" t="s">
        <v>129</v>
      </c>
      <c r="BH15" s="2" t="s">
        <v>128</v>
      </c>
      <c r="BI15" s="3" t="s">
        <v>100</v>
      </c>
      <c r="BJ15" s="3" t="s">
        <v>130</v>
      </c>
      <c r="BK15" s="3">
        <v>1.321</v>
      </c>
      <c r="BL15" s="3">
        <v>2.577</v>
      </c>
      <c r="BM15" s="10" t="s">
        <v>44</v>
      </c>
      <c r="BO15" s="2" t="s">
        <v>117</v>
      </c>
    </row>
    <row r="16" spans="1:67" s="2" customFormat="1" ht="76" customHeight="1" x14ac:dyDescent="0.2">
      <c r="A16" s="2" t="s">
        <v>112</v>
      </c>
      <c r="B16" s="3" t="s">
        <v>58</v>
      </c>
      <c r="C16" s="7" t="s">
        <v>131</v>
      </c>
      <c r="D16" s="3" t="s">
        <v>39</v>
      </c>
      <c r="E16" s="3" t="s">
        <v>59</v>
      </c>
      <c r="F16" s="3" t="s">
        <v>40</v>
      </c>
      <c r="G16" s="3" t="str">
        <f>AO1</f>
        <v>B1 /5     Gap fade</v>
      </c>
      <c r="H16" s="3"/>
      <c r="I16" s="3" t="s">
        <v>165</v>
      </c>
      <c r="J16" s="3" t="s">
        <v>179</v>
      </c>
      <c r="K16" s="3">
        <v>8.85</v>
      </c>
      <c r="L16" s="24">
        <f t="shared" si="0"/>
        <v>9.2925000000000004</v>
      </c>
      <c r="M16" s="24">
        <f t="shared" si="13"/>
        <v>9.9312500000000004</v>
      </c>
      <c r="N16" s="3">
        <v>10.57</v>
      </c>
      <c r="O16" s="3">
        <v>0</v>
      </c>
      <c r="P16" s="3">
        <v>0</v>
      </c>
      <c r="Q16" s="3">
        <f t="shared" si="12"/>
        <v>0</v>
      </c>
      <c r="R16" s="3">
        <v>0</v>
      </c>
      <c r="S16" s="3"/>
      <c r="T16" s="3">
        <v>10.9</v>
      </c>
      <c r="U16" s="24">
        <f t="shared" si="1"/>
        <v>10.573</v>
      </c>
      <c r="V16" s="3" t="str">
        <f t="shared" si="2"/>
        <v>10.57, 10.57</v>
      </c>
      <c r="W16" s="23">
        <f t="shared" si="3"/>
        <v>14160</v>
      </c>
      <c r="X16" s="3">
        <v>400</v>
      </c>
      <c r="Y16" s="23">
        <f t="shared" si="4"/>
        <v>16915.599999999999</v>
      </c>
      <c r="Z16" s="23">
        <f t="shared" si="5"/>
        <v>2755.5999999999985</v>
      </c>
      <c r="AA16" s="3">
        <v>0</v>
      </c>
      <c r="AB16" s="24">
        <f t="shared" si="6"/>
        <v>0.42480000000000001</v>
      </c>
      <c r="AC16" s="24">
        <f t="shared" si="7"/>
        <v>11.041160680000001</v>
      </c>
      <c r="AD16" s="24">
        <f t="shared" si="8"/>
        <v>16.915599999999998</v>
      </c>
      <c r="AE16" s="24">
        <f t="shared" si="9"/>
        <v>3.1075599999999998E-2</v>
      </c>
      <c r="AF16" s="24">
        <f t="shared" si="10"/>
        <v>5.1142745303999995</v>
      </c>
      <c r="AG16" s="23">
        <f t="shared" si="11"/>
        <v>2722.0730891895987</v>
      </c>
      <c r="AH16" s="3"/>
      <c r="AI16" s="3"/>
      <c r="AJ16" s="3"/>
      <c r="AK16" s="3"/>
      <c r="AL16" s="2" t="s">
        <v>52</v>
      </c>
      <c r="AM16" s="3" t="s">
        <v>34</v>
      </c>
      <c r="AN16" s="3">
        <v>0.5</v>
      </c>
      <c r="AO16" s="3">
        <v>0.5</v>
      </c>
      <c r="AP16" s="3"/>
      <c r="AQ16" s="3">
        <v>3</v>
      </c>
      <c r="AR16" s="2" t="s">
        <v>52</v>
      </c>
      <c r="AS16" s="3">
        <v>1</v>
      </c>
      <c r="AT16" s="3" t="s">
        <v>88</v>
      </c>
      <c r="AU16" s="5" t="s">
        <v>87</v>
      </c>
      <c r="AV16" s="3" t="s">
        <v>42</v>
      </c>
      <c r="AW16" s="3"/>
      <c r="AX16" s="3" t="s">
        <v>49</v>
      </c>
      <c r="AY16" s="3">
        <v>1.2999999999999999E-2</v>
      </c>
      <c r="AZ16" s="3">
        <v>0.251</v>
      </c>
      <c r="BA16" s="3">
        <v>0.251</v>
      </c>
      <c r="BB16" s="3">
        <v>0.79200000000000004</v>
      </c>
      <c r="BC16" s="3">
        <v>0.57099999999999995</v>
      </c>
      <c r="BD16" s="3">
        <v>0.27</v>
      </c>
      <c r="BE16" s="2" t="s">
        <v>132</v>
      </c>
      <c r="BF16" s="2" t="s">
        <v>133</v>
      </c>
      <c r="BG16" s="2" t="s">
        <v>133</v>
      </c>
      <c r="BH16" s="2" t="s">
        <v>132</v>
      </c>
      <c r="BI16" s="3" t="s">
        <v>56</v>
      </c>
      <c r="BJ16" s="3" t="s">
        <v>134</v>
      </c>
      <c r="BK16" s="3">
        <v>1.0780000000000001</v>
      </c>
      <c r="BL16" s="3">
        <v>0.69199999999999995</v>
      </c>
      <c r="BM16" s="10" t="s">
        <v>44</v>
      </c>
      <c r="BO16" s="2" t="s">
        <v>117</v>
      </c>
    </row>
    <row r="17" spans="2:65" s="2" customFormat="1" ht="76" customHeight="1" x14ac:dyDescent="0.2">
      <c r="B17" s="3"/>
      <c r="C17" s="7"/>
      <c r="D17" s="3"/>
      <c r="E17" s="3"/>
      <c r="F17" s="3"/>
      <c r="G17" s="3"/>
      <c r="H17" s="3"/>
      <c r="I17" s="3"/>
      <c r="J17" s="3"/>
      <c r="K17" s="3"/>
      <c r="L17" s="24"/>
      <c r="M17" s="24"/>
      <c r="N17" s="3"/>
      <c r="O17" s="3"/>
      <c r="P17" s="3"/>
      <c r="Q17" s="3"/>
      <c r="R17" s="3"/>
      <c r="S17" s="3"/>
      <c r="T17" s="3"/>
      <c r="U17" s="3"/>
      <c r="V17" s="3"/>
      <c r="W17" s="33">
        <f>SUM(W3:W16)</f>
        <v>662873</v>
      </c>
      <c r="X17" s="3"/>
      <c r="Y17" s="3"/>
      <c r="Z17" s="3"/>
      <c r="AA17" s="3"/>
      <c r="AB17" s="3"/>
      <c r="AC17" s="3"/>
      <c r="AD17" s="3"/>
      <c r="AE17" s="3"/>
      <c r="AF17" s="3"/>
      <c r="AG17" s="33">
        <f>SUM(AG3:AG16)</f>
        <v>208497.92918037294</v>
      </c>
      <c r="AH17" s="25">
        <f>(AG17/W17)</f>
        <v>0.31453676523311846</v>
      </c>
      <c r="AI17" s="3"/>
      <c r="AJ17" s="3"/>
      <c r="AK17" s="3"/>
      <c r="AM17" s="3"/>
      <c r="AN17" s="3"/>
      <c r="AO17" s="3"/>
      <c r="AP17" s="3"/>
      <c r="AQ17" s="3"/>
      <c r="AS17" s="3"/>
      <c r="AT17" s="3"/>
      <c r="AU17" s="5"/>
      <c r="AV17" s="3"/>
      <c r="AW17" s="3"/>
      <c r="AX17" s="3"/>
      <c r="AY17" s="3"/>
      <c r="AZ17" s="3"/>
      <c r="BA17" s="3"/>
      <c r="BB17" s="3"/>
      <c r="BC17" s="3"/>
      <c r="BD17" s="3"/>
      <c r="BI17" s="3"/>
      <c r="BJ17" s="3"/>
      <c r="BK17" s="3"/>
      <c r="BL17" s="3"/>
      <c r="BM1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B1_GAP-FADE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Devina Kothari</cp:lastModifiedBy>
  <dcterms:created xsi:type="dcterms:W3CDTF">2026-10-19T08:38:17Z</dcterms:created>
  <dcterms:modified xsi:type="dcterms:W3CDTF">2026-10-20T14:31:11Z</dcterms:modified>
</cp:coreProperties>
</file>